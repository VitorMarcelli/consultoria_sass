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346ca4ee1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lientes" sheetId="2" r:id="Ra49452363f2347c9"/>
    <x:sheet xmlns:r="http://schemas.openxmlformats.org/officeDocument/2006/relationships" name="02_Fiscal" sheetId="3" r:id="R51ad56e28ed54162"/>
    <x:sheet xmlns:r="http://schemas.openxmlformats.org/officeDocument/2006/relationships" name="03_Contabil" sheetId="4" r:id="Rd391a7053d3841dc"/>
    <x:sheet xmlns:r="http://schemas.openxmlformats.org/officeDocument/2006/relationships" name="04_Pessoal" sheetId="5" r:id="R9fc49bfce63449ad"/>
    <x:sheet xmlns:r="http://schemas.openxmlformats.org/officeDocument/2006/relationships" name="05_Cadastros" sheetId="6" r:id="Rfaa48adc54824ce0"/>
    <x:sheet xmlns:r="http://schemas.openxmlformats.org/officeDocument/2006/relationships" name="06_Dicionario" sheetId="7" r:id="R2aa39121933c4c3f"/>
    <x:sheet xmlns:r="http://schemas.openxmlformats.org/officeDocument/2006/relationships" name="07_Regras_Complexidade" sheetId="8" r:id="R0b87704a52da4e7d"/>
  </x:sheets>
</x:workbook>
</file>

<file path=xl/sharedStrings.xml><?xml version="1.0" encoding="utf-8"?>
<x:sst xmlns:x="http://schemas.openxmlformats.org/spreadsheetml/2006/main">
  <x:si>
    <x:t xml:space="preserve">01 — CLIENTES</x:t>
  </x:si>
  <x:si>
    <x:t xml:space="preserve">Dados comuns por CNPJ/CPF e por ciclo. Honorário, faixa, classificação e frentes variam por ciclo</x:t>
  </x:si>
  <x:si>
    <x:t xml:space="preserve">Ciclo (AAAA-MM)</x:t>
  </x:si>
  <x:si>
    <x:t xml:space="preserve">Tipo pessoa</x:t>
  </x:si>
  <x:si>
    <x:t xml:space="preserve">CNPJ/CPF</x:t>
  </x:si>
  <x:si>
    <x:t xml:space="preserve">Razão social/Nome</x:t>
  </x:si>
  <x:si>
    <x:t xml:space="preserve">Nome fantasia</x:t>
  </x:si>
  <x:si>
    <x:t xml:space="preserve">Status contrato</x:t>
  </x:si>
  <x:si>
    <x:t xml:space="preserve">Honorário faturado</x:t>
  </x:si>
  <x:si>
    <x:t xml:space="preserve">Faixa faturamento anual</x:t>
  </x:si>
  <x:si>
    <x:t xml:space="preserve">Classificação A-D</x:t>
  </x:si>
  <x:si>
    <x:t xml:space="preserve">Fiscal?</x:t>
  </x:si>
  <x:si>
    <x:t xml:space="preserve">Contábil?</x:t>
  </x:si>
  <x:si>
    <x:t xml:space="preserve">Pessoal?</x:t>
  </x:si>
  <x:si>
    <x:t xml:space="preserve">Data entrada</x:t>
  </x:si>
  <x:si>
    <x:t xml:space="preserve">Data saída</x:t>
  </x:si>
  <x:si>
    <x:t xml:space="preserve">Observações</x:t>
  </x:si>
  <x:si>
    <x:t xml:space="preserve">2026-08</x:t>
  </x:si>
  <x:si>
    <x:t xml:space="preserve">PJ</x:t>
  </x:si>
  <x:si>
    <x:t xml:space="preserve">12.345.678/0001-90</x:t>
  </x:si>
  <x:si>
    <x:t xml:space="preserve">Empresa Exemplo Ltda.</x:t>
  </x:si>
  <x:si>
    <x:t xml:space="preserve">Exemplo</x:t>
  </x:si>
  <x:si>
    <x:t xml:space="preserve">Ativo</x:t>
  </x:si>
  <x:si>
    <x:t xml:space="preserve">R$ 1,2–4,8 mi</x:t>
  </x:si>
  <x:si>
    <x:t xml:space="preserve">A</x:t>
  </x:si>
  <x:si>
    <x:t xml:space="preserve">Sim</x:t>
  </x:si>
  <x:si>
    <x:t xml:space="preserve">Linha de exemplo — excluir antes da carga real</x:t>
  </x:si>
  <x:si>
    <x:t xml:space="preserve">02 — FISCAL</x:t>
  </x:si>
  <x:si>
    <x:t xml:space="preserve">Uma linha por CNPJ/CPF ativo na frente e no ciclo. Classe calculada automaticamente.</x:t>
  </x:si>
  <x:si>
    <x:t xml:space="preserve">Ciclo</x:t>
  </x:si>
  <x:si>
    <x:t xml:space="preserve">Status da frente</x:t>
  </x:si>
  <x:si>
    <x:t xml:space="preserve">Responsável principal</x:t>
  </x:si>
  <x:si>
    <x:t xml:space="preserve">Responsável secundário</x:t>
  </x:si>
  <x:si>
    <x:t xml:space="preserve">Regime tributário</x:t>
  </x:si>
  <x:si>
    <x:t xml:space="preserve">Forma recebimento documentos</x:t>
  </x:si>
  <x:si>
    <x:t xml:space="preserve">Forma envio documentos</x:t>
  </x:si>
  <x:si>
    <x:t xml:space="preserve">Forma integração</x:t>
  </x:si>
  <x:si>
    <x:t xml:space="preserve">Nota Volume</x:t>
  </x:si>
  <x:si>
    <x:t xml:space="preserve">Nota Atendimento</x:t>
  </x:si>
  <x:si>
    <x:t xml:space="preserve">Nota Tributação</x:t>
  </x:si>
  <x:si>
    <x:t xml:space="preserve">Nota Organização</x:t>
  </x:si>
  <x:si>
    <x:t xml:space="preserve">Complexidade calculada</x:t>
  </x:si>
  <x:si>
    <x:t xml:space="preserve">Ana Silva</x:t>
  </x:si>
  <x:si>
    <x:t xml:space="preserve">Lucro Presumido</x:t>
  </x:si>
  <x:si>
    <x:t xml:space="preserve">Portal</x:t>
  </x:si>
</x:sst>
</file>

<file path=xl/styles.xml><?xml version="1.0" encoding="utf-8"?>
<x:styleSheet xmlns:x="http://schemas.openxmlformats.org/spreadsheetml/2006/main">
  <x:numFmts count="2">
    <x:numFmt numFmtId="164" formatCode="\R\$\ #,##0.00"/>
    <x:numFmt numFmtId="200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0"/>
      <x:color rgb="FF666F7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  <x:fill>
      <x:patternFill patternType="solid">
        <x:fgColor rgb="FF2D6A8A"/>
      </x:patternFill>
    </x:fill>
    <x:fill>
      <x:patternFill patternType="solid">
        <x:fgColor rgb="FF17344E"/>
      </x:patternFill>
    </x:fill>
    <x:fill>
      <x:patternFill patternType="solid">
        <x:fgColor rgb="FFEAF2F6"/>
      </x:patternFill>
    </x:fill>
    <x:fill>
      <x:patternFill patternType="solid">
        <x:fgColor rgb="FFE7E6E6"/>
      </x:patternFill>
    </x:fill>
    <x:fill>
      <x:patternFill patternType="solid">
        <x:fgColor rgb="FF2F7392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5DCE2"/>
      </x:left>
      <x:right style="thin">
        <x:color rgb="FFD5DCE2"/>
      </x:right>
      <x:top style="thin">
        <x:color rgb="FFD5DCE2"/>
      </x:top>
      <x:bottom style="thin">
        <x:color rgb="FFD5DCE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3" fillId="4" borderId="1" xfId="0" applyFont="1" applyFill="1" applyBorder="1" applyAlignment="1">
      <x:alignment vertical="center" wrapText="1"/>
    </x:xf>
    <x:xf numFmtId="0" fontId="0" fillId="0" borderId="2" xfId="0" applyBorder="1" applyAlignment="1">
      <x:alignment vertical="top" wrapText="1"/>
    </x:xf>
    <x:xf numFmtId="164" fontId="0" fillId="0" borderId="2" xfId="0" applyNumberFormat="1" applyBorder="1" applyAlignment="1">
      <x:alignment vertical="top" wrapText="1"/>
    </x:xf>
    <x:xf numFmtId="14" fontId="0" fillId="0" borderId="2" xfId="0" applyNumberFormat="1" applyBorder="1" applyAlignment="1">
      <x:alignment vertical="top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e93b704b14b94" /><Relationship Type="http://schemas.openxmlformats.org/officeDocument/2006/relationships/theme" Target="/xl/theme/theme1.xml" Id="R1d617f58fec94d2b" /><Relationship Type="http://schemas.openxmlformats.org/officeDocument/2006/relationships/sharedStrings" Target="/xl/sharedStrings.xml" Id="R8a113dd2dd164c7b" /><Relationship Type="http://schemas.openxmlformats.org/officeDocument/2006/relationships/worksheet" Target="/xl/worksheets/sheet1.xml" Id="Ra49452363f2347c9" /><Relationship Type="http://schemas.openxmlformats.org/officeDocument/2006/relationships/worksheet" Target="/xl/worksheets/sheet2.xml" Id="R51ad56e28ed54162" /><Relationship Type="http://schemas.openxmlformats.org/officeDocument/2006/relationships/worksheet" Target="/xl/worksheets/sheet3.xml" Id="Rd391a7053d3841dc" /><Relationship Type="http://schemas.openxmlformats.org/officeDocument/2006/relationships/worksheet" Target="/xl/worksheets/sheet4.xml" Id="R9fc49bfce63449ad" /><Relationship Type="http://schemas.openxmlformats.org/officeDocument/2006/relationships/worksheet" Target="/xl/worksheets/sheet5.xml" Id="Rfaa48adc54824ce0" /><Relationship Type="http://schemas.openxmlformats.org/officeDocument/2006/relationships/worksheet" Target="/xl/worksheets/sheet6.xml" Id="R2aa39121933c4c3f" /><Relationship Type="http://schemas.openxmlformats.org/officeDocument/2006/relationships/worksheet" Target="/xl/worksheets/sheet7.xml" Id="R0b87704a52da4e7d" /></Relationships>
</file>

<file path=xl/tables/table1.xml><?xml version="1.0" encoding="utf-8"?>
<x:table xmlns:x="http://schemas.openxmlformats.org/spreadsheetml/2006/main" id="1" name="tblClientes" displayName="tblClientes" ref="A4:O205" totalsRowShown="0">
  <x:tableColumns count="15">
    <x:tableColumn id="1" name="Ciclo (AAAA-MM)"/>
    <x:tableColumn id="2" name="Tipo pessoa"/>
    <x:tableColumn id="3" name="CNPJ/CPF"/>
    <x:tableColumn id="4" name="Razão social/Nome"/>
    <x:tableColumn id="5" name="Nome fantasia"/>
    <x:tableColumn id="6" name="Status contrato"/>
    <x:tableColumn id="7" name="Honorário faturado"/>
    <x:tableColumn id="8" name="Faixa faturamento anual"/>
    <x:tableColumn id="9" name="Classificação A-D"/>
    <x:tableColumn id="10" name="Fiscal?"/>
    <x:tableColumn id="11" name="Contábil?"/>
    <x:tableColumn id="12" name="Pessoal?"/>
    <x:tableColumn id="13" name="Data entrada"/>
    <x:tableColumn id="14" name="Data saída"/>
    <x:tableColumn id="15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Fiscal" displayName="tblFiscal" ref="A4:O205" totalsRowShown="0">
  <x:tableColumns count="15">
    <x:tableColumn id="1" name="Ciclo"/>
    <x:tableColumn id="2" name="CNPJ/CPF"/>
    <x:tableColumn id="3" name="Status da frente"/>
    <x:tableColumn id="4" name="Responsável principal"/>
    <x:tableColumn id="5" name="Responsável secundário"/>
    <x:tableColumn id="6" name="Regime tributário"/>
    <x:tableColumn id="7" name="Forma recebimento documentos"/>
    <x:tableColumn id="8" name="Forma envio documentos"/>
    <x:tableColumn id="9" name="Forma integração"/>
    <x:tableColumn id="10" name="Nota Volume"/>
    <x:tableColumn id="11" name="Nota Atendimento"/>
    <x:tableColumn id="12" name="Nota Tributação"/>
    <x:tableColumn id="13" name="Nota Organização"/>
    <x:tableColumn id="14" name="Complexidade calculada"/>
    <x:tableColumn id="15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tblContabil" displayName="tblContabil" ref="A4:R205" headerRowCount="1" totalsRowCount="0" totalsRowShown="0">
  <x:autoFilter ref="A4:R205"/>
  <x:tableColumns count="18">
    <x:tableColumn id="1" name="Ciclo"/>
    <x:tableColumn id="2" name="CNPJ/CPF"/>
    <x:tableColumn id="3" name="Status da frente"/>
    <x:tableColumn id="4" name="Responsável principal"/>
    <x:tableColumn id="5" name="Responsável secundário"/>
    <x:tableColumn id="6" name="Regime tributário"/>
    <x:tableColumn id="7" name="Forma recebimento documentos"/>
    <x:tableColumn id="8" name="Forma envio documentos"/>
    <x:tableColumn id="9" name="Forma integração"/>
    <x:tableColumn id="10" name="Forma de lançamento"/>
    <x:tableColumn id="11" name="Periodicidade de Fechamento"/>
    <x:tableColumn id="12" name="Último Mês de Conciliação"/>
    <x:tableColumn id="13" name="Nota Volume"/>
    <x:tableColumn id="14" name="Nota Atendimento"/>
    <x:tableColumn id="15" name="Nota Tributação"/>
    <x:tableColumn id="16" name="Nota Organização"/>
    <x:tableColumn id="17" name="Complexidade calculada"/>
    <x:tableColumn id="1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tblPessoal" displayName="tblPessoal" ref="A4:S205" headerRowCount="1" totalsRowCount="0" totalsRowShown="0">
  <x:autoFilter ref="A4:S205"/>
  <x:tableColumns count="19">
    <x:tableColumn id="1" name="Ciclo"/>
    <x:tableColumn id="2" name="CNPJ/CPF"/>
    <x:tableColumn id="3" name="Status da frente"/>
    <x:tableColumn id="4" name="Responsável principal"/>
    <x:tableColumn id="5" name="Responsável secundário"/>
    <x:tableColumn id="6" name="Qtd. Funcionários"/>
    <x:tableColumn id="7" name="Qtd. Pró-labores"/>
    <x:tableColumn id="8" name="Qtd. Domésticas"/>
    <x:tableColumn id="9" name="Total de Vínculos"/>
    <x:tableColumn id="10" name="Recebimento documentos"/>
    <x:tableColumn id="11" name="Recebimento variáveis"/>
    <x:tableColumn id="12" name="Recebimento ponto"/>
    <x:tableColumn id="13" name="Envio documentos"/>
    <x:tableColumn id="14" name="Nota Volume (calculada)"/>
    <x:tableColumn id="15" name="Nota Atendimento"/>
    <x:tableColumn id="16" name="Nota Organização"/>
    <x:tableColumn id="17" name="Nota Rotatividade"/>
    <x:tableColumn id="18" name="Complexidade calculada"/>
    <x:tableColumn id="19" name="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tblCadastros" displayName="tblCadastros" ref="A4:G54" headerRowCount="1" totalsRowCount="0" totalsRowShown="0">
  <x:autoFilter ref="A4:G54"/>
  <x:tableColumns count="7">
    <x:tableColumn id="1" name="Grupo"/>
    <x:tableColumn id="2" name="Opção exibida pelo escritório"/>
    <x:tableColumn id="3" name="Categoria canônica Sevilha"/>
    <x:tableColumn id="4" name="Campo(s) de uso"/>
    <x:tableColumn id="5" name="Ativo?"/>
    <x:tableColumn id="6" name="Ordem"/>
    <x:tableColumn id="7" name="Observa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tblDicionario" displayName="tblDicionario" ref="A4:K57" headerRowCount="1" totalsRowCount="0" totalsRowShown="0">
  <x:autoFilter ref="A4:K57"/>
  <x:tableColumns count="11">
    <x:tableColumn id="1" name="Entidade/Aba"/>
    <x:tableColumn id="2" name="Campo"/>
    <x:tableColumn id="3" name="Escopo"/>
    <x:tableColumn id="4" name="Tipo"/>
    <x:tableColumn id="5" name="Obrigatoriedade"/>
    <x:tableColumn id="6" name="Valores/Regra"/>
    <x:tableColumn id="7" name="Editável em tela?"/>
    <x:tableColumn id="8" name="Parametrizável?"/>
    <x:tableColumn id="9" name="Saída/uso"/>
    <x:tableColumn id="10" name="Erro bloqueia?"/>
    <x:tableColumn id="11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5bc28496a14f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cda77cac424e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a62779308144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cb0d8e64b54d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fc7b08fa8254c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2fa93c53614f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6" customWidth="1"/>
    <x:col min="3" max="3" width="22" customWidth="1"/>
    <x:col min="4" max="4" width="34" customWidth="1"/>
    <x:col min="5" max="5" width="24" customWidth="1"/>
    <x:col min="6" max="6" width="18" customWidth="1"/>
    <x:col min="7" max="7" width="20" customWidth="1"/>
    <x:col min="8" max="8" width="25" customWidth="1"/>
    <x:col min="9" max="9" width="18" customWidth="1"/>
    <x:col min="10" max="12" width="12" customWidth="1"/>
    <x:col min="13" max="14" width="15" customWidth="1"/>
    <x:col min="15" max="15" width="42" customWidth="1"/>
  </x:cols>
  <x:sheetData>
    <x:row r="1" ht="30" customHeight="1">
      <x:c r="A1" s="5" t="s">
        <x:v>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.049999237060547" customHeight="1">
      <x:c r="A2" s="6" t="s">
        <x:v>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4.04999923706055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  <x:c r="M4" s="1" t="s">
        <x:v>14</x:v>
      </x:c>
      <x:c r="N4" s="1" t="s">
        <x:v>15</x:v>
      </x:c>
      <x:c r="O4" s="1" t="s">
        <x:v>16</x:v>
      </x:c>
    </x:row>
    <x:row r="5">
      <x:c r="A5" s="2" t="s">
        <x:v>17</x:v>
      </x:c>
      <x:c r="B5" s="2" t="s">
        <x:v>18</x:v>
      </x:c>
      <x:c r="C5" s="2" t="s">
        <x:v>19</x:v>
      </x:c>
      <x:c r="D5" s="2" t="s">
        <x:v>20</x:v>
      </x:c>
      <x:c r="E5" s="2" t="s">
        <x:v>21</x:v>
      </x:c>
      <x:c r="F5" s="2" t="s">
        <x:v>22</x:v>
      </x:c>
      <x:c r="G5" s="3">
        <x:v>3500</x:v>
      </x:c>
      <x:c r="H5" s="2" t="s">
        <x:v>23</x:v>
      </x:c>
      <x:c r="I5" s="2" t="s">
        <x:v>24</x:v>
      </x:c>
      <x:c r="J5" s="2" t="s">
        <x:v>25</x:v>
      </x:c>
      <x:c r="K5" s="2" t="s">
        <x:v>25</x:v>
      </x:c>
      <x:c r="L5" s="2" t="s">
        <x:v>25</x:v>
      </x:c>
      <x:c r="M5" s="4">
        <x:v>46023</x:v>
      </x:c>
      <x:c r="N5" s="4"/>
      <x:c r="O5" s="2" t="s">
        <x:v>26</x:v>
      </x:c>
    </x:row>
    <x:row r="6">
      <x:c r="A6" s="2"/>
      <x:c r="B6" s="2"/>
      <x:c r="C6" s="2"/>
      <x:c r="D6" s="2"/>
      <x:c r="E6" s="2"/>
      <x:c r="F6" s="2"/>
      <x:c r="G6" s="3"/>
      <x:c r="H6" s="2"/>
      <x:c r="I6" s="2"/>
      <x:c r="J6" s="2"/>
      <x:c r="K6" s="2"/>
      <x:c r="L6" s="2"/>
      <x:c r="M6" s="4"/>
      <x:c r="N6" s="4"/>
      <x:c r="O6" s="2"/>
    </x:row>
    <x:row r="7">
      <x:c r="A7" s="2"/>
      <x:c r="B7" s="2"/>
      <x:c r="C7" s="2"/>
      <x:c r="D7" s="2"/>
      <x:c r="E7" s="2"/>
      <x:c r="F7" s="2"/>
      <x:c r="G7" s="3"/>
      <x:c r="H7" s="2"/>
      <x:c r="I7" s="2"/>
      <x:c r="J7" s="2"/>
      <x:c r="K7" s="2"/>
      <x:c r="L7" s="2"/>
      <x:c r="M7" s="4"/>
      <x:c r="N7" s="4"/>
      <x:c r="O7" s="2"/>
    </x:row>
    <x:row r="8">
      <x:c r="A8" s="2"/>
      <x:c r="B8" s="2"/>
      <x:c r="C8" s="2"/>
      <x:c r="D8" s="2"/>
      <x:c r="E8" s="2"/>
      <x:c r="F8" s="2"/>
      <x:c r="G8" s="3"/>
      <x:c r="H8" s="2"/>
      <x:c r="I8" s="2"/>
      <x:c r="J8" s="2"/>
      <x:c r="K8" s="2"/>
      <x:c r="L8" s="2"/>
      <x:c r="M8" s="4"/>
      <x:c r="N8" s="4"/>
      <x:c r="O8" s="2"/>
    </x:row>
    <x:row r="9">
      <x:c r="A9" s="2"/>
      <x:c r="B9" s="2"/>
      <x:c r="C9" s="2"/>
      <x:c r="D9" s="2"/>
      <x:c r="E9" s="2"/>
      <x:c r="F9" s="2"/>
      <x:c r="G9" s="3"/>
      <x:c r="H9" s="2"/>
      <x:c r="I9" s="2"/>
      <x:c r="J9" s="2"/>
      <x:c r="K9" s="2"/>
      <x:c r="L9" s="2"/>
      <x:c r="M9" s="4"/>
      <x:c r="N9" s="4"/>
      <x:c r="O9" s="2"/>
    </x:row>
    <x:row r="10">
      <x:c r="A10" s="2"/>
      <x:c r="B10" s="2"/>
      <x:c r="C10" s="2"/>
      <x:c r="D10" s="2"/>
      <x:c r="E10" s="2"/>
      <x:c r="F10" s="2"/>
      <x:c r="G10" s="3"/>
      <x:c r="H10" s="2"/>
      <x:c r="I10" s="2"/>
      <x:c r="J10" s="2"/>
      <x:c r="K10" s="2"/>
      <x:c r="L10" s="2"/>
      <x:c r="M10" s="4"/>
      <x:c r="N10" s="4"/>
      <x:c r="O10" s="2"/>
    </x:row>
    <x:row r="11">
      <x:c r="A11" s="2"/>
      <x:c r="B11" s="2"/>
      <x:c r="C11" s="2"/>
      <x:c r="D11" s="2"/>
      <x:c r="E11" s="2"/>
      <x:c r="F11" s="2"/>
      <x:c r="G11" s="3"/>
      <x:c r="H11" s="2"/>
      <x:c r="I11" s="2"/>
      <x:c r="J11" s="2"/>
      <x:c r="K11" s="2"/>
      <x:c r="L11" s="2"/>
      <x:c r="M11" s="4"/>
      <x:c r="N11" s="4"/>
      <x:c r="O11" s="2"/>
    </x:row>
    <x:row r="12">
      <x:c r="A12" s="2"/>
      <x:c r="B12" s="2"/>
      <x:c r="C12" s="2"/>
      <x:c r="D12" s="2"/>
      <x:c r="E12" s="2"/>
      <x:c r="F12" s="2"/>
      <x:c r="G12" s="3"/>
      <x:c r="H12" s="2"/>
      <x:c r="I12" s="2"/>
      <x:c r="J12" s="2"/>
      <x:c r="K12" s="2"/>
      <x:c r="L12" s="2"/>
      <x:c r="M12" s="4"/>
      <x:c r="N12" s="4"/>
      <x:c r="O12" s="2"/>
    </x:row>
    <x:row r="13">
      <x:c r="A13" s="2"/>
      <x:c r="B13" s="2"/>
      <x:c r="C13" s="2"/>
      <x:c r="D13" s="2"/>
      <x:c r="E13" s="2"/>
      <x:c r="F13" s="2"/>
      <x:c r="G13" s="3"/>
      <x:c r="H13" s="2"/>
      <x:c r="I13" s="2"/>
      <x:c r="J13" s="2"/>
      <x:c r="K13" s="2"/>
      <x:c r="L13" s="2"/>
      <x:c r="M13" s="4"/>
      <x:c r="N13" s="4"/>
      <x:c r="O13" s="2"/>
    </x:row>
    <x:row r="14">
      <x:c r="A14" s="2"/>
      <x:c r="B14" s="2"/>
      <x:c r="C14" s="2"/>
      <x:c r="D14" s="2"/>
      <x:c r="E14" s="2"/>
      <x:c r="F14" s="2"/>
      <x:c r="G14" s="3"/>
      <x:c r="H14" s="2"/>
      <x:c r="I14" s="2"/>
      <x:c r="J14" s="2"/>
      <x:c r="K14" s="2"/>
      <x:c r="L14" s="2"/>
      <x:c r="M14" s="4"/>
      <x:c r="N14" s="4"/>
      <x:c r="O14" s="2"/>
    </x:row>
    <x:row r="15">
      <x:c r="A15" s="2"/>
      <x:c r="B15" s="2"/>
      <x:c r="C15" s="2"/>
      <x:c r="D15" s="2"/>
      <x:c r="E15" s="2"/>
      <x:c r="F15" s="2"/>
      <x:c r="G15" s="3"/>
      <x:c r="H15" s="2"/>
      <x:c r="I15" s="2"/>
      <x:c r="J15" s="2"/>
      <x:c r="K15" s="2"/>
      <x:c r="L15" s="2"/>
      <x:c r="M15" s="4"/>
      <x:c r="N15" s="4"/>
      <x:c r="O15" s="2"/>
    </x:row>
    <x:row r="16">
      <x:c r="A16" s="2"/>
      <x:c r="B16" s="2"/>
      <x:c r="C16" s="2"/>
      <x:c r="D16" s="2"/>
      <x:c r="E16" s="2"/>
      <x:c r="F16" s="2"/>
      <x:c r="G16" s="3"/>
      <x:c r="H16" s="2"/>
      <x:c r="I16" s="2"/>
      <x:c r="J16" s="2"/>
      <x:c r="K16" s="2"/>
      <x:c r="L16" s="2"/>
      <x:c r="M16" s="4"/>
      <x:c r="N16" s="4"/>
      <x:c r="O16" s="2"/>
    </x:row>
    <x:row r="17">
      <x:c r="A17" s="2"/>
      <x:c r="B17" s="2"/>
      <x:c r="C17" s="2"/>
      <x:c r="D17" s="2"/>
      <x:c r="E17" s="2"/>
      <x:c r="F17" s="2"/>
      <x:c r="G17" s="3"/>
      <x:c r="H17" s="2"/>
      <x:c r="I17" s="2"/>
      <x:c r="J17" s="2"/>
      <x:c r="K17" s="2"/>
      <x:c r="L17" s="2"/>
      <x:c r="M17" s="4"/>
      <x:c r="N17" s="4"/>
      <x:c r="O17" s="2"/>
    </x:row>
    <x:row r="18">
      <x:c r="A18" s="2"/>
      <x:c r="B18" s="2"/>
      <x:c r="C18" s="2"/>
      <x:c r="D18" s="2"/>
      <x:c r="E18" s="2"/>
      <x:c r="F18" s="2"/>
      <x:c r="G18" s="3"/>
      <x:c r="H18" s="2"/>
      <x:c r="I18" s="2"/>
      <x:c r="J18" s="2"/>
      <x:c r="K18" s="2"/>
      <x:c r="L18" s="2"/>
      <x:c r="M18" s="4"/>
      <x:c r="N18" s="4"/>
      <x:c r="O18" s="2"/>
    </x:row>
    <x:row r="19">
      <x:c r="A19" s="2"/>
      <x:c r="B19" s="2"/>
      <x:c r="C19" s="2"/>
      <x:c r="D19" s="2"/>
      <x:c r="E19" s="2"/>
      <x:c r="F19" s="2"/>
      <x:c r="G19" s="3"/>
      <x:c r="H19" s="2"/>
      <x:c r="I19" s="2"/>
      <x:c r="J19" s="2"/>
      <x:c r="K19" s="2"/>
      <x:c r="L19" s="2"/>
      <x:c r="M19" s="4"/>
      <x:c r="N19" s="4"/>
      <x:c r="O19" s="2"/>
    </x:row>
    <x:row r="20">
      <x:c r="A20" s="2"/>
      <x:c r="B20" s="2"/>
      <x:c r="C20" s="2"/>
      <x:c r="D20" s="2"/>
      <x:c r="E20" s="2"/>
      <x:c r="F20" s="2"/>
      <x:c r="G20" s="3"/>
      <x:c r="H20" s="2"/>
      <x:c r="I20" s="2"/>
      <x:c r="J20" s="2"/>
      <x:c r="K20" s="2"/>
      <x:c r="L20" s="2"/>
      <x:c r="M20" s="4"/>
      <x:c r="N20" s="4"/>
      <x:c r="O20" s="2"/>
    </x:row>
    <x:row r="21">
      <x:c r="A21" s="2"/>
      <x:c r="B21" s="2"/>
      <x:c r="C21" s="2"/>
      <x:c r="D21" s="2"/>
      <x:c r="E21" s="2"/>
      <x:c r="F21" s="2"/>
      <x:c r="G21" s="3"/>
      <x:c r="H21" s="2"/>
      <x:c r="I21" s="2"/>
      <x:c r="J21" s="2"/>
      <x:c r="K21" s="2"/>
      <x:c r="L21" s="2"/>
      <x:c r="M21" s="4"/>
      <x:c r="N21" s="4"/>
      <x:c r="O21" s="2"/>
    </x:row>
    <x:row r="22">
      <x:c r="A22" s="2"/>
      <x:c r="B22" s="2"/>
      <x:c r="C22" s="2"/>
      <x:c r="D22" s="2"/>
      <x:c r="E22" s="2"/>
      <x:c r="F22" s="2"/>
      <x:c r="G22" s="3"/>
      <x:c r="H22" s="2"/>
      <x:c r="I22" s="2"/>
      <x:c r="J22" s="2"/>
      <x:c r="K22" s="2"/>
      <x:c r="L22" s="2"/>
      <x:c r="M22" s="4"/>
      <x:c r="N22" s="4"/>
      <x:c r="O22" s="2"/>
    </x:row>
    <x:row r="23">
      <x:c r="A23" s="2"/>
      <x:c r="B23" s="2"/>
      <x:c r="C23" s="2"/>
      <x:c r="D23" s="2"/>
      <x:c r="E23" s="2"/>
      <x:c r="F23" s="2"/>
      <x:c r="G23" s="3"/>
      <x:c r="H23" s="2"/>
      <x:c r="I23" s="2"/>
      <x:c r="J23" s="2"/>
      <x:c r="K23" s="2"/>
      <x:c r="L23" s="2"/>
      <x:c r="M23" s="4"/>
      <x:c r="N23" s="4"/>
      <x:c r="O23" s="2"/>
    </x:row>
    <x:row r="24">
      <x:c r="A24" s="2"/>
      <x:c r="B24" s="2"/>
      <x:c r="C24" s="2"/>
      <x:c r="D24" s="2"/>
      <x:c r="E24" s="2"/>
      <x:c r="F24" s="2"/>
      <x:c r="G24" s="3"/>
      <x:c r="H24" s="2"/>
      <x:c r="I24" s="2"/>
      <x:c r="J24" s="2"/>
      <x:c r="K24" s="2"/>
      <x:c r="L24" s="2"/>
      <x:c r="M24" s="4"/>
      <x:c r="N24" s="4"/>
      <x:c r="O24" s="2"/>
    </x:row>
    <x:row r="25">
      <x:c r="A25" s="2"/>
      <x:c r="B25" s="2"/>
      <x:c r="C25" s="2"/>
      <x:c r="D25" s="2"/>
      <x:c r="E25" s="2"/>
      <x:c r="F25" s="2"/>
      <x:c r="G25" s="3"/>
      <x:c r="H25" s="2"/>
      <x:c r="I25" s="2"/>
      <x:c r="J25" s="2"/>
      <x:c r="K25" s="2"/>
      <x:c r="L25" s="2"/>
      <x:c r="M25" s="4"/>
      <x:c r="N25" s="4"/>
      <x:c r="O25" s="2"/>
    </x:row>
    <x:row r="26">
      <x:c r="A26" s="2"/>
      <x:c r="B26" s="2"/>
      <x:c r="C26" s="2"/>
      <x:c r="D26" s="2"/>
      <x:c r="E26" s="2"/>
      <x:c r="F26" s="2"/>
      <x:c r="G26" s="3"/>
      <x:c r="H26" s="2"/>
      <x:c r="I26" s="2"/>
      <x:c r="J26" s="2"/>
      <x:c r="K26" s="2"/>
      <x:c r="L26" s="2"/>
      <x:c r="M26" s="4"/>
      <x:c r="N26" s="4"/>
      <x:c r="O26" s="2"/>
    </x:row>
    <x:row r="27">
      <x:c r="A27" s="2"/>
      <x:c r="B27" s="2"/>
      <x:c r="C27" s="2"/>
      <x:c r="D27" s="2"/>
      <x:c r="E27" s="2"/>
      <x:c r="F27" s="2"/>
      <x:c r="G27" s="3"/>
      <x:c r="H27" s="2"/>
      <x:c r="I27" s="2"/>
      <x:c r="J27" s="2"/>
      <x:c r="K27" s="2"/>
      <x:c r="L27" s="2"/>
      <x:c r="M27" s="4"/>
      <x:c r="N27" s="4"/>
      <x:c r="O27" s="2"/>
    </x:row>
    <x:row r="28">
      <x:c r="A28" s="2"/>
      <x:c r="B28" s="2"/>
      <x:c r="C28" s="2"/>
      <x:c r="D28" s="2"/>
      <x:c r="E28" s="2"/>
      <x:c r="F28" s="2"/>
      <x:c r="G28" s="3"/>
      <x:c r="H28" s="2"/>
      <x:c r="I28" s="2"/>
      <x:c r="J28" s="2"/>
      <x:c r="K28" s="2"/>
      <x:c r="L28" s="2"/>
      <x:c r="M28" s="4"/>
      <x:c r="N28" s="4"/>
      <x:c r="O28" s="2"/>
    </x:row>
    <x:row r="29">
      <x:c r="A29" s="2"/>
      <x:c r="B29" s="2"/>
      <x:c r="C29" s="2"/>
      <x:c r="D29" s="2"/>
      <x:c r="E29" s="2"/>
      <x:c r="F29" s="2"/>
      <x:c r="G29" s="3"/>
      <x:c r="H29" s="2"/>
      <x:c r="I29" s="2"/>
      <x:c r="J29" s="2"/>
      <x:c r="K29" s="2"/>
      <x:c r="L29" s="2"/>
      <x:c r="M29" s="4"/>
      <x:c r="N29" s="4"/>
      <x:c r="O29" s="2"/>
    </x:row>
    <x:row r="30">
      <x:c r="A30" s="2"/>
      <x:c r="B30" s="2"/>
      <x:c r="C30" s="2"/>
      <x:c r="D30" s="2"/>
      <x:c r="E30" s="2"/>
      <x:c r="F30" s="2"/>
      <x:c r="G30" s="3"/>
      <x:c r="H30" s="2"/>
      <x:c r="I30" s="2"/>
      <x:c r="J30" s="2"/>
      <x:c r="K30" s="2"/>
      <x:c r="L30" s="2"/>
      <x:c r="M30" s="4"/>
      <x:c r="N30" s="4"/>
      <x:c r="O30" s="2"/>
    </x:row>
    <x:row r="31">
      <x:c r="A31" s="2"/>
      <x:c r="B31" s="2"/>
      <x:c r="C31" s="2"/>
      <x:c r="D31" s="2"/>
      <x:c r="E31" s="2"/>
      <x:c r="F31" s="2"/>
      <x:c r="G31" s="3"/>
      <x:c r="H31" s="2"/>
      <x:c r="I31" s="2"/>
      <x:c r="J31" s="2"/>
      <x:c r="K31" s="2"/>
      <x:c r="L31" s="2"/>
      <x:c r="M31" s="4"/>
      <x:c r="N31" s="4"/>
      <x:c r="O31" s="2"/>
    </x:row>
    <x:row r="32">
      <x:c r="A32" s="2"/>
      <x:c r="B32" s="2"/>
      <x:c r="C32" s="2"/>
      <x:c r="D32" s="2"/>
      <x:c r="E32" s="2"/>
      <x:c r="F32" s="2"/>
      <x:c r="G32" s="3"/>
      <x:c r="H32" s="2"/>
      <x:c r="I32" s="2"/>
      <x:c r="J32" s="2"/>
      <x:c r="K32" s="2"/>
      <x:c r="L32" s="2"/>
      <x:c r="M32" s="4"/>
      <x:c r="N32" s="4"/>
      <x:c r="O32" s="2"/>
    </x:row>
    <x:row r="33">
      <x:c r="A33" s="2"/>
      <x:c r="B33" s="2"/>
      <x:c r="C33" s="2"/>
      <x:c r="D33" s="2"/>
      <x:c r="E33" s="2"/>
      <x:c r="F33" s="2"/>
      <x:c r="G33" s="3"/>
      <x:c r="H33" s="2"/>
      <x:c r="I33" s="2"/>
      <x:c r="J33" s="2"/>
      <x:c r="K33" s="2"/>
      <x:c r="L33" s="2"/>
      <x:c r="M33" s="4"/>
      <x:c r="N33" s="4"/>
      <x:c r="O33" s="2"/>
    </x:row>
    <x:row r="34">
      <x:c r="A34" s="2"/>
      <x:c r="B34" s="2"/>
      <x:c r="C34" s="2"/>
      <x:c r="D34" s="2"/>
      <x:c r="E34" s="2"/>
      <x:c r="F34" s="2"/>
      <x:c r="G34" s="3"/>
      <x:c r="H34" s="2"/>
      <x:c r="I34" s="2"/>
      <x:c r="J34" s="2"/>
      <x:c r="K34" s="2"/>
      <x:c r="L34" s="2"/>
      <x:c r="M34" s="4"/>
      <x:c r="N34" s="4"/>
      <x:c r="O34" s="2"/>
    </x:row>
    <x:row r="35">
      <x:c r="A35" s="2"/>
      <x:c r="B35" s="2"/>
      <x:c r="C35" s="2"/>
      <x:c r="D35" s="2"/>
      <x:c r="E35" s="2"/>
      <x:c r="F35" s="2"/>
      <x:c r="G35" s="3"/>
      <x:c r="H35" s="2"/>
      <x:c r="I35" s="2"/>
      <x:c r="J35" s="2"/>
      <x:c r="K35" s="2"/>
      <x:c r="L35" s="2"/>
      <x:c r="M35" s="4"/>
      <x:c r="N35" s="4"/>
      <x:c r="O35" s="2"/>
    </x:row>
    <x:row r="36">
      <x:c r="A36" s="2"/>
      <x:c r="B36" s="2"/>
      <x:c r="C36" s="2"/>
      <x:c r="D36" s="2"/>
      <x:c r="E36" s="2"/>
      <x:c r="F36" s="2"/>
      <x:c r="G36" s="3"/>
      <x:c r="H36" s="2"/>
      <x:c r="I36" s="2"/>
      <x:c r="J36" s="2"/>
      <x:c r="K36" s="2"/>
      <x:c r="L36" s="2"/>
      <x:c r="M36" s="4"/>
      <x:c r="N36" s="4"/>
      <x:c r="O36" s="2"/>
    </x:row>
    <x:row r="37">
      <x:c r="A37" s="2"/>
      <x:c r="B37" s="2"/>
      <x:c r="C37" s="2"/>
      <x:c r="D37" s="2"/>
      <x:c r="E37" s="2"/>
      <x:c r="F37" s="2"/>
      <x:c r="G37" s="3"/>
      <x:c r="H37" s="2"/>
      <x:c r="I37" s="2"/>
      <x:c r="J37" s="2"/>
      <x:c r="K37" s="2"/>
      <x:c r="L37" s="2"/>
      <x:c r="M37" s="4"/>
      <x:c r="N37" s="4"/>
      <x:c r="O37" s="2"/>
    </x:row>
    <x:row r="38">
      <x:c r="A38" s="2"/>
      <x:c r="B38" s="2"/>
      <x:c r="C38" s="2"/>
      <x:c r="D38" s="2"/>
      <x:c r="E38" s="2"/>
      <x:c r="F38" s="2"/>
      <x:c r="G38" s="3"/>
      <x:c r="H38" s="2"/>
      <x:c r="I38" s="2"/>
      <x:c r="J38" s="2"/>
      <x:c r="K38" s="2"/>
      <x:c r="L38" s="2"/>
      <x:c r="M38" s="4"/>
      <x:c r="N38" s="4"/>
      <x:c r="O38" s="2"/>
    </x:row>
    <x:row r="39">
      <x:c r="A39" s="2"/>
      <x:c r="B39" s="2"/>
      <x:c r="C39" s="2"/>
      <x:c r="D39" s="2"/>
      <x:c r="E39" s="2"/>
      <x:c r="F39" s="2"/>
      <x:c r="G39" s="3"/>
      <x:c r="H39" s="2"/>
      <x:c r="I39" s="2"/>
      <x:c r="J39" s="2"/>
      <x:c r="K39" s="2"/>
      <x:c r="L39" s="2"/>
      <x:c r="M39" s="4"/>
      <x:c r="N39" s="4"/>
      <x:c r="O39" s="2"/>
    </x:row>
    <x:row r="40">
      <x:c r="A40" s="2"/>
      <x:c r="B40" s="2"/>
      <x:c r="C40" s="2"/>
      <x:c r="D40" s="2"/>
      <x:c r="E40" s="2"/>
      <x:c r="F40" s="2"/>
      <x:c r="G40" s="3"/>
      <x:c r="H40" s="2"/>
      <x:c r="I40" s="2"/>
      <x:c r="J40" s="2"/>
      <x:c r="K40" s="2"/>
      <x:c r="L40" s="2"/>
      <x:c r="M40" s="4"/>
      <x:c r="N40" s="4"/>
      <x:c r="O40" s="2"/>
    </x:row>
    <x:row r="41">
      <x:c r="A41" s="2"/>
      <x:c r="B41" s="2"/>
      <x:c r="C41" s="2"/>
      <x:c r="D41" s="2"/>
      <x:c r="E41" s="2"/>
      <x:c r="F41" s="2"/>
      <x:c r="G41" s="3"/>
      <x:c r="H41" s="2"/>
      <x:c r="I41" s="2"/>
      <x:c r="J41" s="2"/>
      <x:c r="K41" s="2"/>
      <x:c r="L41" s="2"/>
      <x:c r="M41" s="4"/>
      <x:c r="N41" s="4"/>
      <x:c r="O41" s="2"/>
    </x:row>
    <x:row r="42">
      <x:c r="A42" s="2"/>
      <x:c r="B42" s="2"/>
      <x:c r="C42" s="2"/>
      <x:c r="D42" s="2"/>
      <x:c r="E42" s="2"/>
      <x:c r="F42" s="2"/>
      <x:c r="G42" s="3"/>
      <x:c r="H42" s="2"/>
      <x:c r="I42" s="2"/>
      <x:c r="J42" s="2"/>
      <x:c r="K42" s="2"/>
      <x:c r="L42" s="2"/>
      <x:c r="M42" s="4"/>
      <x:c r="N42" s="4"/>
      <x:c r="O42" s="2"/>
    </x:row>
    <x:row r="43">
      <x:c r="A43" s="2"/>
      <x:c r="B43" s="2"/>
      <x:c r="C43" s="2"/>
      <x:c r="D43" s="2"/>
      <x:c r="E43" s="2"/>
      <x:c r="F43" s="2"/>
      <x:c r="G43" s="3"/>
      <x:c r="H43" s="2"/>
      <x:c r="I43" s="2"/>
      <x:c r="J43" s="2"/>
      <x:c r="K43" s="2"/>
      <x:c r="L43" s="2"/>
      <x:c r="M43" s="4"/>
      <x:c r="N43" s="4"/>
      <x:c r="O43" s="2"/>
    </x:row>
    <x:row r="44">
      <x:c r="A44" s="2"/>
      <x:c r="B44" s="2"/>
      <x:c r="C44" s="2"/>
      <x:c r="D44" s="2"/>
      <x:c r="E44" s="2"/>
      <x:c r="F44" s="2"/>
      <x:c r="G44" s="3"/>
      <x:c r="H44" s="2"/>
      <x:c r="I44" s="2"/>
      <x:c r="J44" s="2"/>
      <x:c r="K44" s="2"/>
      <x:c r="L44" s="2"/>
      <x:c r="M44" s="4"/>
      <x:c r="N44" s="4"/>
      <x:c r="O44" s="2"/>
    </x:row>
    <x:row r="45">
      <x:c r="A45" s="2"/>
      <x:c r="B45" s="2"/>
      <x:c r="C45" s="2"/>
      <x:c r="D45" s="2"/>
      <x:c r="E45" s="2"/>
      <x:c r="F45" s="2"/>
      <x:c r="G45" s="3"/>
      <x:c r="H45" s="2"/>
      <x:c r="I45" s="2"/>
      <x:c r="J45" s="2"/>
      <x:c r="K45" s="2"/>
      <x:c r="L45" s="2"/>
      <x:c r="M45" s="4"/>
      <x:c r="N45" s="4"/>
      <x:c r="O45" s="2"/>
    </x:row>
    <x:row r="46">
      <x:c r="A46" s="2"/>
      <x:c r="B46" s="2"/>
      <x:c r="C46" s="2"/>
      <x:c r="D46" s="2"/>
      <x:c r="E46" s="2"/>
      <x:c r="F46" s="2"/>
      <x:c r="G46" s="3"/>
      <x:c r="H46" s="2"/>
      <x:c r="I46" s="2"/>
      <x:c r="J46" s="2"/>
      <x:c r="K46" s="2"/>
      <x:c r="L46" s="2"/>
      <x:c r="M46" s="4"/>
      <x:c r="N46" s="4"/>
      <x:c r="O46" s="2"/>
    </x:row>
    <x:row r="47">
      <x:c r="A47" s="2"/>
      <x:c r="B47" s="2"/>
      <x:c r="C47" s="2"/>
      <x:c r="D47" s="2"/>
      <x:c r="E47" s="2"/>
      <x:c r="F47" s="2"/>
      <x:c r="G47" s="3"/>
      <x:c r="H47" s="2"/>
      <x:c r="I47" s="2"/>
      <x:c r="J47" s="2"/>
      <x:c r="K47" s="2"/>
      <x:c r="L47" s="2"/>
      <x:c r="M47" s="4"/>
      <x:c r="N47" s="4"/>
      <x:c r="O47" s="2"/>
    </x:row>
    <x:row r="48">
      <x:c r="A48" s="2"/>
      <x:c r="B48" s="2"/>
      <x:c r="C48" s="2"/>
      <x:c r="D48" s="2"/>
      <x:c r="E48" s="2"/>
      <x:c r="F48" s="2"/>
      <x:c r="G48" s="3"/>
      <x:c r="H48" s="2"/>
      <x:c r="I48" s="2"/>
      <x:c r="J48" s="2"/>
      <x:c r="K48" s="2"/>
      <x:c r="L48" s="2"/>
      <x:c r="M48" s="4"/>
      <x:c r="N48" s="4"/>
      <x:c r="O48" s="2"/>
    </x:row>
    <x:row r="49">
      <x:c r="A49" s="2"/>
      <x:c r="B49" s="2"/>
      <x:c r="C49" s="2"/>
      <x:c r="D49" s="2"/>
      <x:c r="E49" s="2"/>
      <x:c r="F49" s="2"/>
      <x:c r="G49" s="3"/>
      <x:c r="H49" s="2"/>
      <x:c r="I49" s="2"/>
      <x:c r="J49" s="2"/>
      <x:c r="K49" s="2"/>
      <x:c r="L49" s="2"/>
      <x:c r="M49" s="4"/>
      <x:c r="N49" s="4"/>
      <x:c r="O49" s="2"/>
    </x:row>
    <x:row r="50">
      <x:c r="A50" s="2"/>
      <x:c r="B50" s="2"/>
      <x:c r="C50" s="2"/>
      <x:c r="D50" s="2"/>
      <x:c r="E50" s="2"/>
      <x:c r="F50" s="2"/>
      <x:c r="G50" s="3"/>
      <x:c r="H50" s="2"/>
      <x:c r="I50" s="2"/>
      <x:c r="J50" s="2"/>
      <x:c r="K50" s="2"/>
      <x:c r="L50" s="2"/>
      <x:c r="M50" s="4"/>
      <x:c r="N50" s="4"/>
      <x:c r="O50" s="2"/>
    </x:row>
    <x:row r="51">
      <x:c r="A51" s="2"/>
      <x:c r="B51" s="2"/>
      <x:c r="C51" s="2"/>
      <x:c r="D51" s="2"/>
      <x:c r="E51" s="2"/>
      <x:c r="F51" s="2"/>
      <x:c r="G51" s="3"/>
      <x:c r="H51" s="2"/>
      <x:c r="I51" s="2"/>
      <x:c r="J51" s="2"/>
      <x:c r="K51" s="2"/>
      <x:c r="L51" s="2"/>
      <x:c r="M51" s="4"/>
      <x:c r="N51" s="4"/>
      <x:c r="O51" s="2"/>
    </x:row>
    <x:row r="52">
      <x:c r="A52" s="2"/>
      <x:c r="B52" s="2"/>
      <x:c r="C52" s="2"/>
      <x:c r="D52" s="2"/>
      <x:c r="E52" s="2"/>
      <x:c r="F52" s="2"/>
      <x:c r="G52" s="3"/>
      <x:c r="H52" s="2"/>
      <x:c r="I52" s="2"/>
      <x:c r="J52" s="2"/>
      <x:c r="K52" s="2"/>
      <x:c r="L52" s="2"/>
      <x:c r="M52" s="4"/>
      <x:c r="N52" s="4"/>
      <x:c r="O52" s="2"/>
    </x:row>
    <x:row r="53">
      <x:c r="A53" s="2"/>
      <x:c r="B53" s="2"/>
      <x:c r="C53" s="2"/>
      <x:c r="D53" s="2"/>
      <x:c r="E53" s="2"/>
      <x:c r="F53" s="2"/>
      <x:c r="G53" s="3"/>
      <x:c r="H53" s="2"/>
      <x:c r="I53" s="2"/>
      <x:c r="J53" s="2"/>
      <x:c r="K53" s="2"/>
      <x:c r="L53" s="2"/>
      <x:c r="M53" s="4"/>
      <x:c r="N53" s="4"/>
      <x:c r="O53" s="2"/>
    </x:row>
    <x:row r="54">
      <x:c r="A54" s="2"/>
      <x:c r="B54" s="2"/>
      <x:c r="C54" s="2"/>
      <x:c r="D54" s="2"/>
      <x:c r="E54" s="2"/>
      <x:c r="F54" s="2"/>
      <x:c r="G54" s="3"/>
      <x:c r="H54" s="2"/>
      <x:c r="I54" s="2"/>
      <x:c r="J54" s="2"/>
      <x:c r="K54" s="2"/>
      <x:c r="L54" s="2"/>
      <x:c r="M54" s="4"/>
      <x:c r="N54" s="4"/>
      <x:c r="O54" s="2"/>
    </x:row>
    <x:row r="55">
      <x:c r="A55" s="2"/>
      <x:c r="B55" s="2"/>
      <x:c r="C55" s="2"/>
      <x:c r="D55" s="2"/>
      <x:c r="E55" s="2"/>
      <x:c r="F55" s="2"/>
      <x:c r="G55" s="3"/>
      <x:c r="H55" s="2"/>
      <x:c r="I55" s="2"/>
      <x:c r="J55" s="2"/>
      <x:c r="K55" s="2"/>
      <x:c r="L55" s="2"/>
      <x:c r="M55" s="4"/>
      <x:c r="N55" s="4"/>
      <x:c r="O55" s="2"/>
    </x:row>
    <x:row r="56">
      <x:c r="A56" s="2"/>
      <x:c r="B56" s="2"/>
      <x:c r="C56" s="2"/>
      <x:c r="D56" s="2"/>
      <x:c r="E56" s="2"/>
      <x:c r="F56" s="2"/>
      <x:c r="G56" s="3"/>
      <x:c r="H56" s="2"/>
      <x:c r="I56" s="2"/>
      <x:c r="J56" s="2"/>
      <x:c r="K56" s="2"/>
      <x:c r="L56" s="2"/>
      <x:c r="M56" s="4"/>
      <x:c r="N56" s="4"/>
      <x:c r="O56" s="2"/>
    </x:row>
    <x:row r="57">
      <x:c r="A57" s="2"/>
      <x:c r="B57" s="2"/>
      <x:c r="C57" s="2"/>
      <x:c r="D57" s="2"/>
      <x:c r="E57" s="2"/>
      <x:c r="F57" s="2"/>
      <x:c r="G57" s="3"/>
      <x:c r="H57" s="2"/>
      <x:c r="I57" s="2"/>
      <x:c r="J57" s="2"/>
      <x:c r="K57" s="2"/>
      <x:c r="L57" s="2"/>
      <x:c r="M57" s="4"/>
      <x:c r="N57" s="4"/>
      <x:c r="O57" s="2"/>
    </x:row>
    <x:row r="58">
      <x:c r="A58" s="2"/>
      <x:c r="B58" s="2"/>
      <x:c r="C58" s="2"/>
      <x:c r="D58" s="2"/>
      <x:c r="E58" s="2"/>
      <x:c r="F58" s="2"/>
      <x:c r="G58" s="3"/>
      <x:c r="H58" s="2"/>
      <x:c r="I58" s="2"/>
      <x:c r="J58" s="2"/>
      <x:c r="K58" s="2"/>
      <x:c r="L58" s="2"/>
      <x:c r="M58" s="4"/>
      <x:c r="N58" s="4"/>
      <x:c r="O58" s="2"/>
    </x:row>
    <x:row r="59">
      <x:c r="A59" s="2"/>
      <x:c r="B59" s="2"/>
      <x:c r="C59" s="2"/>
      <x:c r="D59" s="2"/>
      <x:c r="E59" s="2"/>
      <x:c r="F59" s="2"/>
      <x:c r="G59" s="3"/>
      <x:c r="H59" s="2"/>
      <x:c r="I59" s="2"/>
      <x:c r="J59" s="2"/>
      <x:c r="K59" s="2"/>
      <x:c r="L59" s="2"/>
      <x:c r="M59" s="4"/>
      <x:c r="N59" s="4"/>
      <x:c r="O59" s="2"/>
    </x:row>
    <x:row r="60">
      <x:c r="A60" s="2"/>
      <x:c r="B60" s="2"/>
      <x:c r="C60" s="2"/>
      <x:c r="D60" s="2"/>
      <x:c r="E60" s="2"/>
      <x:c r="F60" s="2"/>
      <x:c r="G60" s="3"/>
      <x:c r="H60" s="2"/>
      <x:c r="I60" s="2"/>
      <x:c r="J60" s="2"/>
      <x:c r="K60" s="2"/>
      <x:c r="L60" s="2"/>
      <x:c r="M60" s="4"/>
      <x:c r="N60" s="4"/>
      <x:c r="O60" s="2"/>
    </x:row>
    <x:row r="61">
      <x:c r="A61" s="2"/>
      <x:c r="B61" s="2"/>
      <x:c r="C61" s="2"/>
      <x:c r="D61" s="2"/>
      <x:c r="E61" s="2"/>
      <x:c r="F61" s="2"/>
      <x:c r="G61" s="3"/>
      <x:c r="H61" s="2"/>
      <x:c r="I61" s="2"/>
      <x:c r="J61" s="2"/>
      <x:c r="K61" s="2"/>
      <x:c r="L61" s="2"/>
      <x:c r="M61" s="4"/>
      <x:c r="N61" s="4"/>
      <x:c r="O61" s="2"/>
    </x:row>
    <x:row r="62">
      <x:c r="A62" s="2"/>
      <x:c r="B62" s="2"/>
      <x:c r="C62" s="2"/>
      <x:c r="D62" s="2"/>
      <x:c r="E62" s="2"/>
      <x:c r="F62" s="2"/>
      <x:c r="G62" s="3"/>
      <x:c r="H62" s="2"/>
      <x:c r="I62" s="2"/>
      <x:c r="J62" s="2"/>
      <x:c r="K62" s="2"/>
      <x:c r="L62" s="2"/>
      <x:c r="M62" s="4"/>
      <x:c r="N62" s="4"/>
      <x:c r="O62" s="2"/>
    </x:row>
    <x:row r="63">
      <x:c r="A63" s="2"/>
      <x:c r="B63" s="2"/>
      <x:c r="C63" s="2"/>
      <x:c r="D63" s="2"/>
      <x:c r="E63" s="2"/>
      <x:c r="F63" s="2"/>
      <x:c r="G63" s="3"/>
      <x:c r="H63" s="2"/>
      <x:c r="I63" s="2"/>
      <x:c r="J63" s="2"/>
      <x:c r="K63" s="2"/>
      <x:c r="L63" s="2"/>
      <x:c r="M63" s="4"/>
      <x:c r="N63" s="4"/>
      <x:c r="O63" s="2"/>
    </x:row>
    <x:row r="64">
      <x:c r="A64" s="2"/>
      <x:c r="B64" s="2"/>
      <x:c r="C64" s="2"/>
      <x:c r="D64" s="2"/>
      <x:c r="E64" s="2"/>
      <x:c r="F64" s="2"/>
      <x:c r="G64" s="3"/>
      <x:c r="H64" s="2"/>
      <x:c r="I64" s="2"/>
      <x:c r="J64" s="2"/>
      <x:c r="K64" s="2"/>
      <x:c r="L64" s="2"/>
      <x:c r="M64" s="4"/>
      <x:c r="N64" s="4"/>
      <x:c r="O64" s="2"/>
    </x:row>
    <x:row r="65">
      <x:c r="A65" s="2"/>
      <x:c r="B65" s="2"/>
      <x:c r="C65" s="2"/>
      <x:c r="D65" s="2"/>
      <x:c r="E65" s="2"/>
      <x:c r="F65" s="2"/>
      <x:c r="G65" s="3"/>
      <x:c r="H65" s="2"/>
      <x:c r="I65" s="2"/>
      <x:c r="J65" s="2"/>
      <x:c r="K65" s="2"/>
      <x:c r="L65" s="2"/>
      <x:c r="M65" s="4"/>
      <x:c r="N65" s="4"/>
      <x:c r="O65" s="2"/>
    </x:row>
    <x:row r="66">
      <x:c r="A66" s="2"/>
      <x:c r="B66" s="2"/>
      <x:c r="C66" s="2"/>
      <x:c r="D66" s="2"/>
      <x:c r="E66" s="2"/>
      <x:c r="F66" s="2"/>
      <x:c r="G66" s="3"/>
      <x:c r="H66" s="2"/>
      <x:c r="I66" s="2"/>
      <x:c r="J66" s="2"/>
      <x:c r="K66" s="2"/>
      <x:c r="L66" s="2"/>
      <x:c r="M66" s="4"/>
      <x:c r="N66" s="4"/>
      <x:c r="O66" s="2"/>
    </x:row>
    <x:row r="67">
      <x:c r="A67" s="2"/>
      <x:c r="B67" s="2"/>
      <x:c r="C67" s="2"/>
      <x:c r="D67" s="2"/>
      <x:c r="E67" s="2"/>
      <x:c r="F67" s="2"/>
      <x:c r="G67" s="3"/>
      <x:c r="H67" s="2"/>
      <x:c r="I67" s="2"/>
      <x:c r="J67" s="2"/>
      <x:c r="K67" s="2"/>
      <x:c r="L67" s="2"/>
      <x:c r="M67" s="4"/>
      <x:c r="N67" s="4"/>
      <x:c r="O67" s="2"/>
    </x:row>
    <x:row r="68">
      <x:c r="A68" s="2"/>
      <x:c r="B68" s="2"/>
      <x:c r="C68" s="2"/>
      <x:c r="D68" s="2"/>
      <x:c r="E68" s="2"/>
      <x:c r="F68" s="2"/>
      <x:c r="G68" s="3"/>
      <x:c r="H68" s="2"/>
      <x:c r="I68" s="2"/>
      <x:c r="J68" s="2"/>
      <x:c r="K68" s="2"/>
      <x:c r="L68" s="2"/>
      <x:c r="M68" s="4"/>
      <x:c r="N68" s="4"/>
      <x:c r="O68" s="2"/>
    </x:row>
    <x:row r="69">
      <x:c r="A69" s="2"/>
      <x:c r="B69" s="2"/>
      <x:c r="C69" s="2"/>
      <x:c r="D69" s="2"/>
      <x:c r="E69" s="2"/>
      <x:c r="F69" s="2"/>
      <x:c r="G69" s="3"/>
      <x:c r="H69" s="2"/>
      <x:c r="I69" s="2"/>
      <x:c r="J69" s="2"/>
      <x:c r="K69" s="2"/>
      <x:c r="L69" s="2"/>
      <x:c r="M69" s="4"/>
      <x:c r="N69" s="4"/>
      <x:c r="O69" s="2"/>
    </x:row>
    <x:row r="70">
      <x:c r="A70" s="2"/>
      <x:c r="B70" s="2"/>
      <x:c r="C70" s="2"/>
      <x:c r="D70" s="2"/>
      <x:c r="E70" s="2"/>
      <x:c r="F70" s="2"/>
      <x:c r="G70" s="3"/>
      <x:c r="H70" s="2"/>
      <x:c r="I70" s="2"/>
      <x:c r="J70" s="2"/>
      <x:c r="K70" s="2"/>
      <x:c r="L70" s="2"/>
      <x:c r="M70" s="4"/>
      <x:c r="N70" s="4"/>
      <x:c r="O70" s="2"/>
    </x:row>
    <x:row r="71">
      <x:c r="A71" s="2"/>
      <x:c r="B71" s="2"/>
      <x:c r="C71" s="2"/>
      <x:c r="D71" s="2"/>
      <x:c r="E71" s="2"/>
      <x:c r="F71" s="2"/>
      <x:c r="G71" s="3"/>
      <x:c r="H71" s="2"/>
      <x:c r="I71" s="2"/>
      <x:c r="J71" s="2"/>
      <x:c r="K71" s="2"/>
      <x:c r="L71" s="2"/>
      <x:c r="M71" s="4"/>
      <x:c r="N71" s="4"/>
      <x:c r="O71" s="2"/>
    </x:row>
    <x:row r="72">
      <x:c r="A72" s="2"/>
      <x:c r="B72" s="2"/>
      <x:c r="C72" s="2"/>
      <x:c r="D72" s="2"/>
      <x:c r="E72" s="2"/>
      <x:c r="F72" s="2"/>
      <x:c r="G72" s="3"/>
      <x:c r="H72" s="2"/>
      <x:c r="I72" s="2"/>
      <x:c r="J72" s="2"/>
      <x:c r="K72" s="2"/>
      <x:c r="L72" s="2"/>
      <x:c r="M72" s="4"/>
      <x:c r="N72" s="4"/>
      <x:c r="O72" s="2"/>
    </x:row>
    <x:row r="73">
      <x:c r="A73" s="2"/>
      <x:c r="B73" s="2"/>
      <x:c r="C73" s="2"/>
      <x:c r="D73" s="2"/>
      <x:c r="E73" s="2"/>
      <x:c r="F73" s="2"/>
      <x:c r="G73" s="3"/>
      <x:c r="H73" s="2"/>
      <x:c r="I73" s="2"/>
      <x:c r="J73" s="2"/>
      <x:c r="K73" s="2"/>
      <x:c r="L73" s="2"/>
      <x:c r="M73" s="4"/>
      <x:c r="N73" s="4"/>
      <x:c r="O73" s="2"/>
    </x:row>
    <x:row r="74">
      <x:c r="A74" s="2"/>
      <x:c r="B74" s="2"/>
      <x:c r="C74" s="2"/>
      <x:c r="D74" s="2"/>
      <x:c r="E74" s="2"/>
      <x:c r="F74" s="2"/>
      <x:c r="G74" s="3"/>
      <x:c r="H74" s="2"/>
      <x:c r="I74" s="2"/>
      <x:c r="J74" s="2"/>
      <x:c r="K74" s="2"/>
      <x:c r="L74" s="2"/>
      <x:c r="M74" s="4"/>
      <x:c r="N74" s="4"/>
      <x:c r="O74" s="2"/>
    </x:row>
    <x:row r="75">
      <x:c r="A75" s="2"/>
      <x:c r="B75" s="2"/>
      <x:c r="C75" s="2"/>
      <x:c r="D75" s="2"/>
      <x:c r="E75" s="2"/>
      <x:c r="F75" s="2"/>
      <x:c r="G75" s="3"/>
      <x:c r="H75" s="2"/>
      <x:c r="I75" s="2"/>
      <x:c r="J75" s="2"/>
      <x:c r="K75" s="2"/>
      <x:c r="L75" s="2"/>
      <x:c r="M75" s="4"/>
      <x:c r="N75" s="4"/>
      <x:c r="O75" s="2"/>
    </x:row>
    <x:row r="76">
      <x:c r="A76" s="2"/>
      <x:c r="B76" s="2"/>
      <x:c r="C76" s="2"/>
      <x:c r="D76" s="2"/>
      <x:c r="E76" s="2"/>
      <x:c r="F76" s="2"/>
      <x:c r="G76" s="3"/>
      <x:c r="H76" s="2"/>
      <x:c r="I76" s="2"/>
      <x:c r="J76" s="2"/>
      <x:c r="K76" s="2"/>
      <x:c r="L76" s="2"/>
      <x:c r="M76" s="4"/>
      <x:c r="N76" s="4"/>
      <x:c r="O76" s="2"/>
    </x:row>
    <x:row r="77">
      <x:c r="A77" s="2"/>
      <x:c r="B77" s="2"/>
      <x:c r="C77" s="2"/>
      <x:c r="D77" s="2"/>
      <x:c r="E77" s="2"/>
      <x:c r="F77" s="2"/>
      <x:c r="G77" s="3"/>
      <x:c r="H77" s="2"/>
      <x:c r="I77" s="2"/>
      <x:c r="J77" s="2"/>
      <x:c r="K77" s="2"/>
      <x:c r="L77" s="2"/>
      <x:c r="M77" s="4"/>
      <x:c r="N77" s="4"/>
      <x:c r="O77" s="2"/>
    </x:row>
    <x:row r="78">
      <x:c r="A78" s="2"/>
      <x:c r="B78" s="2"/>
      <x:c r="C78" s="2"/>
      <x:c r="D78" s="2"/>
      <x:c r="E78" s="2"/>
      <x:c r="F78" s="2"/>
      <x:c r="G78" s="3"/>
      <x:c r="H78" s="2"/>
      <x:c r="I78" s="2"/>
      <x:c r="J78" s="2"/>
      <x:c r="K78" s="2"/>
      <x:c r="L78" s="2"/>
      <x:c r="M78" s="4"/>
      <x:c r="N78" s="4"/>
      <x:c r="O78" s="2"/>
    </x:row>
    <x:row r="79">
      <x:c r="A79" s="2"/>
      <x:c r="B79" s="2"/>
      <x:c r="C79" s="2"/>
      <x:c r="D79" s="2"/>
      <x:c r="E79" s="2"/>
      <x:c r="F79" s="2"/>
      <x:c r="G79" s="3"/>
      <x:c r="H79" s="2"/>
      <x:c r="I79" s="2"/>
      <x:c r="J79" s="2"/>
      <x:c r="K79" s="2"/>
      <x:c r="L79" s="2"/>
      <x:c r="M79" s="4"/>
      <x:c r="N79" s="4"/>
      <x:c r="O79" s="2"/>
    </x:row>
    <x:row r="80">
      <x:c r="A80" s="2"/>
      <x:c r="B80" s="2"/>
      <x:c r="C80" s="2"/>
      <x:c r="D80" s="2"/>
      <x:c r="E80" s="2"/>
      <x:c r="F80" s="2"/>
      <x:c r="G80" s="3"/>
      <x:c r="H80" s="2"/>
      <x:c r="I80" s="2"/>
      <x:c r="J80" s="2"/>
      <x:c r="K80" s="2"/>
      <x:c r="L80" s="2"/>
      <x:c r="M80" s="4"/>
      <x:c r="N80" s="4"/>
      <x:c r="O80" s="2"/>
    </x:row>
    <x:row r="81">
      <x:c r="A81" s="2"/>
      <x:c r="B81" s="2"/>
      <x:c r="C81" s="2"/>
      <x:c r="D81" s="2"/>
      <x:c r="E81" s="2"/>
      <x:c r="F81" s="2"/>
      <x:c r="G81" s="3"/>
      <x:c r="H81" s="2"/>
      <x:c r="I81" s="2"/>
      <x:c r="J81" s="2"/>
      <x:c r="K81" s="2"/>
      <x:c r="L81" s="2"/>
      <x:c r="M81" s="4"/>
      <x:c r="N81" s="4"/>
      <x:c r="O81" s="2"/>
    </x:row>
    <x:row r="82">
      <x:c r="A82" s="2"/>
      <x:c r="B82" s="2"/>
      <x:c r="C82" s="2"/>
      <x:c r="D82" s="2"/>
      <x:c r="E82" s="2"/>
      <x:c r="F82" s="2"/>
      <x:c r="G82" s="3"/>
      <x:c r="H82" s="2"/>
      <x:c r="I82" s="2"/>
      <x:c r="J82" s="2"/>
      <x:c r="K82" s="2"/>
      <x:c r="L82" s="2"/>
      <x:c r="M82" s="4"/>
      <x:c r="N82" s="4"/>
      <x:c r="O82" s="2"/>
    </x:row>
    <x:row r="83">
      <x:c r="A83" s="2"/>
      <x:c r="B83" s="2"/>
      <x:c r="C83" s="2"/>
      <x:c r="D83" s="2"/>
      <x:c r="E83" s="2"/>
      <x:c r="F83" s="2"/>
      <x:c r="G83" s="3"/>
      <x:c r="H83" s="2"/>
      <x:c r="I83" s="2"/>
      <x:c r="J83" s="2"/>
      <x:c r="K83" s="2"/>
      <x:c r="L83" s="2"/>
      <x:c r="M83" s="4"/>
      <x:c r="N83" s="4"/>
      <x:c r="O83" s="2"/>
    </x:row>
    <x:row r="84">
      <x:c r="A84" s="2"/>
      <x:c r="B84" s="2"/>
      <x:c r="C84" s="2"/>
      <x:c r="D84" s="2"/>
      <x:c r="E84" s="2"/>
      <x:c r="F84" s="2"/>
      <x:c r="G84" s="3"/>
      <x:c r="H84" s="2"/>
      <x:c r="I84" s="2"/>
      <x:c r="J84" s="2"/>
      <x:c r="K84" s="2"/>
      <x:c r="L84" s="2"/>
      <x:c r="M84" s="4"/>
      <x:c r="N84" s="4"/>
      <x:c r="O84" s="2"/>
    </x:row>
    <x:row r="85">
      <x:c r="A85" s="2"/>
      <x:c r="B85" s="2"/>
      <x:c r="C85" s="2"/>
      <x:c r="D85" s="2"/>
      <x:c r="E85" s="2"/>
      <x:c r="F85" s="2"/>
      <x:c r="G85" s="3"/>
      <x:c r="H85" s="2"/>
      <x:c r="I85" s="2"/>
      <x:c r="J85" s="2"/>
      <x:c r="K85" s="2"/>
      <x:c r="L85" s="2"/>
      <x:c r="M85" s="4"/>
      <x:c r="N85" s="4"/>
      <x:c r="O85" s="2"/>
    </x:row>
    <x:row r="86">
      <x:c r="A86" s="2"/>
      <x:c r="B86" s="2"/>
      <x:c r="C86" s="2"/>
      <x:c r="D86" s="2"/>
      <x:c r="E86" s="2"/>
      <x:c r="F86" s="2"/>
      <x:c r="G86" s="3"/>
      <x:c r="H86" s="2"/>
      <x:c r="I86" s="2"/>
      <x:c r="J86" s="2"/>
      <x:c r="K86" s="2"/>
      <x:c r="L86" s="2"/>
      <x:c r="M86" s="4"/>
      <x:c r="N86" s="4"/>
      <x:c r="O86" s="2"/>
    </x:row>
    <x:row r="87">
      <x:c r="A87" s="2"/>
      <x:c r="B87" s="2"/>
      <x:c r="C87" s="2"/>
      <x:c r="D87" s="2"/>
      <x:c r="E87" s="2"/>
      <x:c r="F87" s="2"/>
      <x:c r="G87" s="3"/>
      <x:c r="H87" s="2"/>
      <x:c r="I87" s="2"/>
      <x:c r="J87" s="2"/>
      <x:c r="K87" s="2"/>
      <x:c r="L87" s="2"/>
      <x:c r="M87" s="4"/>
      <x:c r="N87" s="4"/>
      <x:c r="O87" s="2"/>
    </x:row>
    <x:row r="88">
      <x:c r="A88" s="2"/>
      <x:c r="B88" s="2"/>
      <x:c r="C88" s="2"/>
      <x:c r="D88" s="2"/>
      <x:c r="E88" s="2"/>
      <x:c r="F88" s="2"/>
      <x:c r="G88" s="3"/>
      <x:c r="H88" s="2"/>
      <x:c r="I88" s="2"/>
      <x:c r="J88" s="2"/>
      <x:c r="K88" s="2"/>
      <x:c r="L88" s="2"/>
      <x:c r="M88" s="4"/>
      <x:c r="N88" s="4"/>
      <x:c r="O88" s="2"/>
    </x:row>
    <x:row r="89">
      <x:c r="A89" s="2"/>
      <x:c r="B89" s="2"/>
      <x:c r="C89" s="2"/>
      <x:c r="D89" s="2"/>
      <x:c r="E89" s="2"/>
      <x:c r="F89" s="2"/>
      <x:c r="G89" s="3"/>
      <x:c r="H89" s="2"/>
      <x:c r="I89" s="2"/>
      <x:c r="J89" s="2"/>
      <x:c r="K89" s="2"/>
      <x:c r="L89" s="2"/>
      <x:c r="M89" s="4"/>
      <x:c r="N89" s="4"/>
      <x:c r="O89" s="2"/>
    </x:row>
    <x:row r="90">
      <x:c r="A90" s="2"/>
      <x:c r="B90" s="2"/>
      <x:c r="C90" s="2"/>
      <x:c r="D90" s="2"/>
      <x:c r="E90" s="2"/>
      <x:c r="F90" s="2"/>
      <x:c r="G90" s="3"/>
      <x:c r="H90" s="2"/>
      <x:c r="I90" s="2"/>
      <x:c r="J90" s="2"/>
      <x:c r="K90" s="2"/>
      <x:c r="L90" s="2"/>
      <x:c r="M90" s="4"/>
      <x:c r="N90" s="4"/>
      <x:c r="O90" s="2"/>
    </x:row>
    <x:row r="91">
      <x:c r="A91" s="2"/>
      <x:c r="B91" s="2"/>
      <x:c r="C91" s="2"/>
      <x:c r="D91" s="2"/>
      <x:c r="E91" s="2"/>
      <x:c r="F91" s="2"/>
      <x:c r="G91" s="3"/>
      <x:c r="H91" s="2"/>
      <x:c r="I91" s="2"/>
      <x:c r="J91" s="2"/>
      <x:c r="K91" s="2"/>
      <x:c r="L91" s="2"/>
      <x:c r="M91" s="4"/>
      <x:c r="N91" s="4"/>
      <x:c r="O91" s="2"/>
    </x:row>
    <x:row r="92">
      <x:c r="A92" s="2"/>
      <x:c r="B92" s="2"/>
      <x:c r="C92" s="2"/>
      <x:c r="D92" s="2"/>
      <x:c r="E92" s="2"/>
      <x:c r="F92" s="2"/>
      <x:c r="G92" s="3"/>
      <x:c r="H92" s="2"/>
      <x:c r="I92" s="2"/>
      <x:c r="J92" s="2"/>
      <x:c r="K92" s="2"/>
      <x:c r="L92" s="2"/>
      <x:c r="M92" s="4"/>
      <x:c r="N92" s="4"/>
      <x:c r="O92" s="2"/>
    </x:row>
    <x:row r="93">
      <x:c r="A93" s="2"/>
      <x:c r="B93" s="2"/>
      <x:c r="C93" s="2"/>
      <x:c r="D93" s="2"/>
      <x:c r="E93" s="2"/>
      <x:c r="F93" s="2"/>
      <x:c r="G93" s="3"/>
      <x:c r="H93" s="2"/>
      <x:c r="I93" s="2"/>
      <x:c r="J93" s="2"/>
      <x:c r="K93" s="2"/>
      <x:c r="L93" s="2"/>
      <x:c r="M93" s="4"/>
      <x:c r="N93" s="4"/>
      <x:c r="O93" s="2"/>
    </x:row>
    <x:row r="94">
      <x:c r="A94" s="2"/>
      <x:c r="B94" s="2"/>
      <x:c r="C94" s="2"/>
      <x:c r="D94" s="2"/>
      <x:c r="E94" s="2"/>
      <x:c r="F94" s="2"/>
      <x:c r="G94" s="3"/>
      <x:c r="H94" s="2"/>
      <x:c r="I94" s="2"/>
      <x:c r="J94" s="2"/>
      <x:c r="K94" s="2"/>
      <x:c r="L94" s="2"/>
      <x:c r="M94" s="4"/>
      <x:c r="N94" s="4"/>
      <x:c r="O94" s="2"/>
    </x:row>
    <x:row r="95">
      <x:c r="A95" s="2"/>
      <x:c r="B95" s="2"/>
      <x:c r="C95" s="2"/>
      <x:c r="D95" s="2"/>
      <x:c r="E95" s="2"/>
      <x:c r="F95" s="2"/>
      <x:c r="G95" s="3"/>
      <x:c r="H95" s="2"/>
      <x:c r="I95" s="2"/>
      <x:c r="J95" s="2"/>
      <x:c r="K95" s="2"/>
      <x:c r="L95" s="2"/>
      <x:c r="M95" s="4"/>
      <x:c r="N95" s="4"/>
      <x:c r="O95" s="2"/>
    </x:row>
    <x:row r="96">
      <x:c r="A96" s="2"/>
      <x:c r="B96" s="2"/>
      <x:c r="C96" s="2"/>
      <x:c r="D96" s="2"/>
      <x:c r="E96" s="2"/>
      <x:c r="F96" s="2"/>
      <x:c r="G96" s="3"/>
      <x:c r="H96" s="2"/>
      <x:c r="I96" s="2"/>
      <x:c r="J96" s="2"/>
      <x:c r="K96" s="2"/>
      <x:c r="L96" s="2"/>
      <x:c r="M96" s="4"/>
      <x:c r="N96" s="4"/>
      <x:c r="O96" s="2"/>
    </x:row>
    <x:row r="97">
      <x:c r="A97" s="2"/>
      <x:c r="B97" s="2"/>
      <x:c r="C97" s="2"/>
      <x:c r="D97" s="2"/>
      <x:c r="E97" s="2"/>
      <x:c r="F97" s="2"/>
      <x:c r="G97" s="3"/>
      <x:c r="H97" s="2"/>
      <x:c r="I97" s="2"/>
      <x:c r="J97" s="2"/>
      <x:c r="K97" s="2"/>
      <x:c r="L97" s="2"/>
      <x:c r="M97" s="4"/>
      <x:c r="N97" s="4"/>
      <x:c r="O97" s="2"/>
    </x:row>
    <x:row r="98">
      <x:c r="A98" s="2"/>
      <x:c r="B98" s="2"/>
      <x:c r="C98" s="2"/>
      <x:c r="D98" s="2"/>
      <x:c r="E98" s="2"/>
      <x:c r="F98" s="2"/>
      <x:c r="G98" s="3"/>
      <x:c r="H98" s="2"/>
      <x:c r="I98" s="2"/>
      <x:c r="J98" s="2"/>
      <x:c r="K98" s="2"/>
      <x:c r="L98" s="2"/>
      <x:c r="M98" s="4"/>
      <x:c r="N98" s="4"/>
      <x:c r="O98" s="2"/>
    </x:row>
    <x:row r="99">
      <x:c r="A99" s="2"/>
      <x:c r="B99" s="2"/>
      <x:c r="C99" s="2"/>
      <x:c r="D99" s="2"/>
      <x:c r="E99" s="2"/>
      <x:c r="F99" s="2"/>
      <x:c r="G99" s="3"/>
      <x:c r="H99" s="2"/>
      <x:c r="I99" s="2"/>
      <x:c r="J99" s="2"/>
      <x:c r="K99" s="2"/>
      <x:c r="L99" s="2"/>
      <x:c r="M99" s="4"/>
      <x:c r="N99" s="4"/>
      <x:c r="O99" s="2"/>
    </x:row>
    <x:row r="100">
      <x:c r="A100" s="2"/>
      <x:c r="B100" s="2"/>
      <x:c r="C100" s="2"/>
      <x:c r="D100" s="2"/>
      <x:c r="E100" s="2"/>
      <x:c r="F100" s="2"/>
      <x:c r="G100" s="3"/>
      <x:c r="H100" s="2"/>
      <x:c r="I100" s="2"/>
      <x:c r="J100" s="2"/>
      <x:c r="K100" s="2"/>
      <x:c r="L100" s="2"/>
      <x:c r="M100" s="4"/>
      <x:c r="N100" s="4"/>
      <x:c r="O100" s="2"/>
    </x:row>
    <x:row r="101">
      <x:c r="A101" s="2"/>
      <x:c r="B101" s="2"/>
      <x:c r="C101" s="2"/>
      <x:c r="D101" s="2"/>
      <x:c r="E101" s="2"/>
      <x:c r="F101" s="2"/>
      <x:c r="G101" s="3"/>
      <x:c r="H101" s="2"/>
      <x:c r="I101" s="2"/>
      <x:c r="J101" s="2"/>
      <x:c r="K101" s="2"/>
      <x:c r="L101" s="2"/>
      <x:c r="M101" s="4"/>
      <x:c r="N101" s="4"/>
      <x:c r="O101" s="2"/>
    </x:row>
    <x:row r="102">
      <x:c r="A102" s="2"/>
      <x:c r="B102" s="2"/>
      <x:c r="C102" s="2"/>
      <x:c r="D102" s="2"/>
      <x:c r="E102" s="2"/>
      <x:c r="F102" s="2"/>
      <x:c r="G102" s="3"/>
      <x:c r="H102" s="2"/>
      <x:c r="I102" s="2"/>
      <x:c r="J102" s="2"/>
      <x:c r="K102" s="2"/>
      <x:c r="L102" s="2"/>
      <x:c r="M102" s="4"/>
      <x:c r="N102" s="4"/>
      <x:c r="O102" s="2"/>
    </x:row>
    <x:row r="103">
      <x:c r="A103" s="2"/>
      <x:c r="B103" s="2"/>
      <x:c r="C103" s="2"/>
      <x:c r="D103" s="2"/>
      <x:c r="E103" s="2"/>
      <x:c r="F103" s="2"/>
      <x:c r="G103" s="3"/>
      <x:c r="H103" s="2"/>
      <x:c r="I103" s="2"/>
      <x:c r="J103" s="2"/>
      <x:c r="K103" s="2"/>
      <x:c r="L103" s="2"/>
      <x:c r="M103" s="4"/>
      <x:c r="N103" s="4"/>
      <x:c r="O103" s="2"/>
    </x:row>
    <x:row r="104">
      <x:c r="A104" s="2"/>
      <x:c r="B104" s="2"/>
      <x:c r="C104" s="2"/>
      <x:c r="D104" s="2"/>
      <x:c r="E104" s="2"/>
      <x:c r="F104" s="2"/>
      <x:c r="G104" s="3"/>
      <x:c r="H104" s="2"/>
      <x:c r="I104" s="2"/>
      <x:c r="J104" s="2"/>
      <x:c r="K104" s="2"/>
      <x:c r="L104" s="2"/>
      <x:c r="M104" s="4"/>
      <x:c r="N104" s="4"/>
      <x:c r="O104" s="2"/>
    </x:row>
    <x:row r="105">
      <x:c r="A105" s="2"/>
      <x:c r="B105" s="2"/>
      <x:c r="C105" s="2"/>
      <x:c r="D105" s="2"/>
      <x:c r="E105" s="2"/>
      <x:c r="F105" s="2"/>
      <x:c r="G105" s="3"/>
      <x:c r="H105" s="2"/>
      <x:c r="I105" s="2"/>
      <x:c r="J105" s="2"/>
      <x:c r="K105" s="2"/>
      <x:c r="L105" s="2"/>
      <x:c r="M105" s="4"/>
      <x:c r="N105" s="4"/>
      <x:c r="O105" s="2"/>
    </x:row>
    <x:row r="106">
      <x:c r="A106" s="2"/>
      <x:c r="B106" s="2"/>
      <x:c r="C106" s="2"/>
      <x:c r="D106" s="2"/>
      <x:c r="E106" s="2"/>
      <x:c r="F106" s="2"/>
      <x:c r="G106" s="3"/>
      <x:c r="H106" s="2"/>
      <x:c r="I106" s="2"/>
      <x:c r="J106" s="2"/>
      <x:c r="K106" s="2"/>
      <x:c r="L106" s="2"/>
      <x:c r="M106" s="4"/>
      <x:c r="N106" s="4"/>
      <x:c r="O106" s="2"/>
    </x:row>
    <x:row r="107">
      <x:c r="A107" s="2"/>
      <x:c r="B107" s="2"/>
      <x:c r="C107" s="2"/>
      <x:c r="D107" s="2"/>
      <x:c r="E107" s="2"/>
      <x:c r="F107" s="2"/>
      <x:c r="G107" s="3"/>
      <x:c r="H107" s="2"/>
      <x:c r="I107" s="2"/>
      <x:c r="J107" s="2"/>
      <x:c r="K107" s="2"/>
      <x:c r="L107" s="2"/>
      <x:c r="M107" s="4"/>
      <x:c r="N107" s="4"/>
      <x:c r="O107" s="2"/>
    </x:row>
    <x:row r="108">
      <x:c r="A108" s="2"/>
      <x:c r="B108" s="2"/>
      <x:c r="C108" s="2"/>
      <x:c r="D108" s="2"/>
      <x:c r="E108" s="2"/>
      <x:c r="F108" s="2"/>
      <x:c r="G108" s="3"/>
      <x:c r="H108" s="2"/>
      <x:c r="I108" s="2"/>
      <x:c r="J108" s="2"/>
      <x:c r="K108" s="2"/>
      <x:c r="L108" s="2"/>
      <x:c r="M108" s="4"/>
      <x:c r="N108" s="4"/>
      <x:c r="O108" s="2"/>
    </x:row>
    <x:row r="109">
      <x:c r="A109" s="2"/>
      <x:c r="B109" s="2"/>
      <x:c r="C109" s="2"/>
      <x:c r="D109" s="2"/>
      <x:c r="E109" s="2"/>
      <x:c r="F109" s="2"/>
      <x:c r="G109" s="3"/>
      <x:c r="H109" s="2"/>
      <x:c r="I109" s="2"/>
      <x:c r="J109" s="2"/>
      <x:c r="K109" s="2"/>
      <x:c r="L109" s="2"/>
      <x:c r="M109" s="4"/>
      <x:c r="N109" s="4"/>
      <x:c r="O109" s="2"/>
    </x:row>
    <x:row r="110">
      <x:c r="A110" s="2"/>
      <x:c r="B110" s="2"/>
      <x:c r="C110" s="2"/>
      <x:c r="D110" s="2"/>
      <x:c r="E110" s="2"/>
      <x:c r="F110" s="2"/>
      <x:c r="G110" s="3"/>
      <x:c r="H110" s="2"/>
      <x:c r="I110" s="2"/>
      <x:c r="J110" s="2"/>
      <x:c r="K110" s="2"/>
      <x:c r="L110" s="2"/>
      <x:c r="M110" s="4"/>
      <x:c r="N110" s="4"/>
      <x:c r="O110" s="2"/>
    </x:row>
    <x:row r="111">
      <x:c r="A111" s="2"/>
      <x:c r="B111" s="2"/>
      <x:c r="C111" s="2"/>
      <x:c r="D111" s="2"/>
      <x:c r="E111" s="2"/>
      <x:c r="F111" s="2"/>
      <x:c r="G111" s="3"/>
      <x:c r="H111" s="2"/>
      <x:c r="I111" s="2"/>
      <x:c r="J111" s="2"/>
      <x:c r="K111" s="2"/>
      <x:c r="L111" s="2"/>
      <x:c r="M111" s="4"/>
      <x:c r="N111" s="4"/>
      <x:c r="O111" s="2"/>
    </x:row>
    <x:row r="112">
      <x:c r="A112" s="2"/>
      <x:c r="B112" s="2"/>
      <x:c r="C112" s="2"/>
      <x:c r="D112" s="2"/>
      <x:c r="E112" s="2"/>
      <x:c r="F112" s="2"/>
      <x:c r="G112" s="3"/>
      <x:c r="H112" s="2"/>
      <x:c r="I112" s="2"/>
      <x:c r="J112" s="2"/>
      <x:c r="K112" s="2"/>
      <x:c r="L112" s="2"/>
      <x:c r="M112" s="4"/>
      <x:c r="N112" s="4"/>
      <x:c r="O112" s="2"/>
    </x:row>
    <x:row r="113">
      <x:c r="A113" s="2"/>
      <x:c r="B113" s="2"/>
      <x:c r="C113" s="2"/>
      <x:c r="D113" s="2"/>
      <x:c r="E113" s="2"/>
      <x:c r="F113" s="2"/>
      <x:c r="G113" s="3"/>
      <x:c r="H113" s="2"/>
      <x:c r="I113" s="2"/>
      <x:c r="J113" s="2"/>
      <x:c r="K113" s="2"/>
      <x:c r="L113" s="2"/>
      <x:c r="M113" s="4"/>
      <x:c r="N113" s="4"/>
      <x:c r="O113" s="2"/>
    </x:row>
    <x:row r="114">
      <x:c r="A114" s="2"/>
      <x:c r="B114" s="2"/>
      <x:c r="C114" s="2"/>
      <x:c r="D114" s="2"/>
      <x:c r="E114" s="2"/>
      <x:c r="F114" s="2"/>
      <x:c r="G114" s="3"/>
      <x:c r="H114" s="2"/>
      <x:c r="I114" s="2"/>
      <x:c r="J114" s="2"/>
      <x:c r="K114" s="2"/>
      <x:c r="L114" s="2"/>
      <x:c r="M114" s="4"/>
      <x:c r="N114" s="4"/>
      <x:c r="O114" s="2"/>
    </x:row>
    <x:row r="115">
      <x:c r="A115" s="2"/>
      <x:c r="B115" s="2"/>
      <x:c r="C115" s="2"/>
      <x:c r="D115" s="2"/>
      <x:c r="E115" s="2"/>
      <x:c r="F115" s="2"/>
      <x:c r="G115" s="3"/>
      <x:c r="H115" s="2"/>
      <x:c r="I115" s="2"/>
      <x:c r="J115" s="2"/>
      <x:c r="K115" s="2"/>
      <x:c r="L115" s="2"/>
      <x:c r="M115" s="4"/>
      <x:c r="N115" s="4"/>
      <x:c r="O115" s="2"/>
    </x:row>
    <x:row r="116">
      <x:c r="A116" s="2"/>
      <x:c r="B116" s="2"/>
      <x:c r="C116" s="2"/>
      <x:c r="D116" s="2"/>
      <x:c r="E116" s="2"/>
      <x:c r="F116" s="2"/>
      <x:c r="G116" s="3"/>
      <x:c r="H116" s="2"/>
      <x:c r="I116" s="2"/>
      <x:c r="J116" s="2"/>
      <x:c r="K116" s="2"/>
      <x:c r="L116" s="2"/>
      <x:c r="M116" s="4"/>
      <x:c r="N116" s="4"/>
      <x:c r="O116" s="2"/>
    </x:row>
    <x:row r="117">
      <x:c r="A117" s="2"/>
      <x:c r="B117" s="2"/>
      <x:c r="C117" s="2"/>
      <x:c r="D117" s="2"/>
      <x:c r="E117" s="2"/>
      <x:c r="F117" s="2"/>
      <x:c r="G117" s="3"/>
      <x:c r="H117" s="2"/>
      <x:c r="I117" s="2"/>
      <x:c r="J117" s="2"/>
      <x:c r="K117" s="2"/>
      <x:c r="L117" s="2"/>
      <x:c r="M117" s="4"/>
      <x:c r="N117" s="4"/>
      <x:c r="O117" s="2"/>
    </x:row>
    <x:row r="118">
      <x:c r="A118" s="2"/>
      <x:c r="B118" s="2"/>
      <x:c r="C118" s="2"/>
      <x:c r="D118" s="2"/>
      <x:c r="E118" s="2"/>
      <x:c r="F118" s="2"/>
      <x:c r="G118" s="3"/>
      <x:c r="H118" s="2"/>
      <x:c r="I118" s="2"/>
      <x:c r="J118" s="2"/>
      <x:c r="K118" s="2"/>
      <x:c r="L118" s="2"/>
      <x:c r="M118" s="4"/>
      <x:c r="N118" s="4"/>
      <x:c r="O118" s="2"/>
    </x:row>
    <x:row r="119">
      <x:c r="A119" s="2"/>
      <x:c r="B119" s="2"/>
      <x:c r="C119" s="2"/>
      <x:c r="D119" s="2"/>
      <x:c r="E119" s="2"/>
      <x:c r="F119" s="2"/>
      <x:c r="G119" s="3"/>
      <x:c r="H119" s="2"/>
      <x:c r="I119" s="2"/>
      <x:c r="J119" s="2"/>
      <x:c r="K119" s="2"/>
      <x:c r="L119" s="2"/>
      <x:c r="M119" s="4"/>
      <x:c r="N119" s="4"/>
      <x:c r="O119" s="2"/>
    </x:row>
    <x:row r="120">
      <x:c r="A120" s="2"/>
      <x:c r="B120" s="2"/>
      <x:c r="C120" s="2"/>
      <x:c r="D120" s="2"/>
      <x:c r="E120" s="2"/>
      <x:c r="F120" s="2"/>
      <x:c r="G120" s="3"/>
      <x:c r="H120" s="2"/>
      <x:c r="I120" s="2"/>
      <x:c r="J120" s="2"/>
      <x:c r="K120" s="2"/>
      <x:c r="L120" s="2"/>
      <x:c r="M120" s="4"/>
      <x:c r="N120" s="4"/>
      <x:c r="O120" s="2"/>
    </x:row>
    <x:row r="121">
      <x:c r="A121" s="2"/>
      <x:c r="B121" s="2"/>
      <x:c r="C121" s="2"/>
      <x:c r="D121" s="2"/>
      <x:c r="E121" s="2"/>
      <x:c r="F121" s="2"/>
      <x:c r="G121" s="3"/>
      <x:c r="H121" s="2"/>
      <x:c r="I121" s="2"/>
      <x:c r="J121" s="2"/>
      <x:c r="K121" s="2"/>
      <x:c r="L121" s="2"/>
      <x:c r="M121" s="4"/>
      <x:c r="N121" s="4"/>
      <x:c r="O121" s="2"/>
    </x:row>
    <x:row r="122">
      <x:c r="A122" s="2"/>
      <x:c r="B122" s="2"/>
      <x:c r="C122" s="2"/>
      <x:c r="D122" s="2"/>
      <x:c r="E122" s="2"/>
      <x:c r="F122" s="2"/>
      <x:c r="G122" s="3"/>
      <x:c r="H122" s="2"/>
      <x:c r="I122" s="2"/>
      <x:c r="J122" s="2"/>
      <x:c r="K122" s="2"/>
      <x:c r="L122" s="2"/>
      <x:c r="M122" s="4"/>
      <x:c r="N122" s="4"/>
      <x:c r="O122" s="2"/>
    </x:row>
    <x:row r="123">
      <x:c r="A123" s="2"/>
      <x:c r="B123" s="2"/>
      <x:c r="C123" s="2"/>
      <x:c r="D123" s="2"/>
      <x:c r="E123" s="2"/>
      <x:c r="F123" s="2"/>
      <x:c r="G123" s="3"/>
      <x:c r="H123" s="2"/>
      <x:c r="I123" s="2"/>
      <x:c r="J123" s="2"/>
      <x:c r="K123" s="2"/>
      <x:c r="L123" s="2"/>
      <x:c r="M123" s="4"/>
      <x:c r="N123" s="4"/>
      <x:c r="O123" s="2"/>
    </x:row>
    <x:row r="124">
      <x:c r="A124" s="2"/>
      <x:c r="B124" s="2"/>
      <x:c r="C124" s="2"/>
      <x:c r="D124" s="2"/>
      <x:c r="E124" s="2"/>
      <x:c r="F124" s="2"/>
      <x:c r="G124" s="3"/>
      <x:c r="H124" s="2"/>
      <x:c r="I124" s="2"/>
      <x:c r="J124" s="2"/>
      <x:c r="K124" s="2"/>
      <x:c r="L124" s="2"/>
      <x:c r="M124" s="4"/>
      <x:c r="N124" s="4"/>
      <x:c r="O124" s="2"/>
    </x:row>
    <x:row r="125">
      <x:c r="A125" s="2"/>
      <x:c r="B125" s="2"/>
      <x:c r="C125" s="2"/>
      <x:c r="D125" s="2"/>
      <x:c r="E125" s="2"/>
      <x:c r="F125" s="2"/>
      <x:c r="G125" s="3"/>
      <x:c r="H125" s="2"/>
      <x:c r="I125" s="2"/>
      <x:c r="J125" s="2"/>
      <x:c r="K125" s="2"/>
      <x:c r="L125" s="2"/>
      <x:c r="M125" s="4"/>
      <x:c r="N125" s="4"/>
      <x:c r="O125" s="2"/>
    </x:row>
    <x:row r="126">
      <x:c r="A126" s="2"/>
      <x:c r="B126" s="2"/>
      <x:c r="C126" s="2"/>
      <x:c r="D126" s="2"/>
      <x:c r="E126" s="2"/>
      <x:c r="F126" s="2"/>
      <x:c r="G126" s="3"/>
      <x:c r="H126" s="2"/>
      <x:c r="I126" s="2"/>
      <x:c r="J126" s="2"/>
      <x:c r="K126" s="2"/>
      <x:c r="L126" s="2"/>
      <x:c r="M126" s="4"/>
      <x:c r="N126" s="4"/>
      <x:c r="O126" s="2"/>
    </x:row>
    <x:row r="127">
      <x:c r="A127" s="2"/>
      <x:c r="B127" s="2"/>
      <x:c r="C127" s="2"/>
      <x:c r="D127" s="2"/>
      <x:c r="E127" s="2"/>
      <x:c r="F127" s="2"/>
      <x:c r="G127" s="3"/>
      <x:c r="H127" s="2"/>
      <x:c r="I127" s="2"/>
      <x:c r="J127" s="2"/>
      <x:c r="K127" s="2"/>
      <x:c r="L127" s="2"/>
      <x:c r="M127" s="4"/>
      <x:c r="N127" s="4"/>
      <x:c r="O127" s="2"/>
    </x:row>
    <x:row r="128">
      <x:c r="A128" s="2"/>
      <x:c r="B128" s="2"/>
      <x:c r="C128" s="2"/>
      <x:c r="D128" s="2"/>
      <x:c r="E128" s="2"/>
      <x:c r="F128" s="2"/>
      <x:c r="G128" s="3"/>
      <x:c r="H128" s="2"/>
      <x:c r="I128" s="2"/>
      <x:c r="J128" s="2"/>
      <x:c r="K128" s="2"/>
      <x:c r="L128" s="2"/>
      <x:c r="M128" s="4"/>
      <x:c r="N128" s="4"/>
      <x:c r="O128" s="2"/>
    </x:row>
    <x:row r="129">
      <x:c r="A129" s="2"/>
      <x:c r="B129" s="2"/>
      <x:c r="C129" s="2"/>
      <x:c r="D129" s="2"/>
      <x:c r="E129" s="2"/>
      <x:c r="F129" s="2"/>
      <x:c r="G129" s="3"/>
      <x:c r="H129" s="2"/>
      <x:c r="I129" s="2"/>
      <x:c r="J129" s="2"/>
      <x:c r="K129" s="2"/>
      <x:c r="L129" s="2"/>
      <x:c r="M129" s="4"/>
      <x:c r="N129" s="4"/>
      <x:c r="O129" s="2"/>
    </x:row>
    <x:row r="130">
      <x:c r="A130" s="2"/>
      <x:c r="B130" s="2"/>
      <x:c r="C130" s="2"/>
      <x:c r="D130" s="2"/>
      <x:c r="E130" s="2"/>
      <x:c r="F130" s="2"/>
      <x:c r="G130" s="3"/>
      <x:c r="H130" s="2"/>
      <x:c r="I130" s="2"/>
      <x:c r="J130" s="2"/>
      <x:c r="K130" s="2"/>
      <x:c r="L130" s="2"/>
      <x:c r="M130" s="4"/>
      <x:c r="N130" s="4"/>
      <x:c r="O130" s="2"/>
    </x:row>
    <x:row r="131">
      <x:c r="A131" s="2"/>
      <x:c r="B131" s="2"/>
      <x:c r="C131" s="2"/>
      <x:c r="D131" s="2"/>
      <x:c r="E131" s="2"/>
      <x:c r="F131" s="2"/>
      <x:c r="G131" s="3"/>
      <x:c r="H131" s="2"/>
      <x:c r="I131" s="2"/>
      <x:c r="J131" s="2"/>
      <x:c r="K131" s="2"/>
      <x:c r="L131" s="2"/>
      <x:c r="M131" s="4"/>
      <x:c r="N131" s="4"/>
      <x:c r="O131" s="2"/>
    </x:row>
    <x:row r="132">
      <x:c r="A132" s="2"/>
      <x:c r="B132" s="2"/>
      <x:c r="C132" s="2"/>
      <x:c r="D132" s="2"/>
      <x:c r="E132" s="2"/>
      <x:c r="F132" s="2"/>
      <x:c r="G132" s="3"/>
      <x:c r="H132" s="2"/>
      <x:c r="I132" s="2"/>
      <x:c r="J132" s="2"/>
      <x:c r="K132" s="2"/>
      <x:c r="L132" s="2"/>
      <x:c r="M132" s="4"/>
      <x:c r="N132" s="4"/>
      <x:c r="O132" s="2"/>
    </x:row>
    <x:row r="133">
      <x:c r="A133" s="2"/>
      <x:c r="B133" s="2"/>
      <x:c r="C133" s="2"/>
      <x:c r="D133" s="2"/>
      <x:c r="E133" s="2"/>
      <x:c r="F133" s="2"/>
      <x:c r="G133" s="3"/>
      <x:c r="H133" s="2"/>
      <x:c r="I133" s="2"/>
      <x:c r="J133" s="2"/>
      <x:c r="K133" s="2"/>
      <x:c r="L133" s="2"/>
      <x:c r="M133" s="4"/>
      <x:c r="N133" s="4"/>
      <x:c r="O133" s="2"/>
    </x:row>
    <x:row r="134">
      <x:c r="A134" s="2"/>
      <x:c r="B134" s="2"/>
      <x:c r="C134" s="2"/>
      <x:c r="D134" s="2"/>
      <x:c r="E134" s="2"/>
      <x:c r="F134" s="2"/>
      <x:c r="G134" s="3"/>
      <x:c r="H134" s="2"/>
      <x:c r="I134" s="2"/>
      <x:c r="J134" s="2"/>
      <x:c r="K134" s="2"/>
      <x:c r="L134" s="2"/>
      <x:c r="M134" s="4"/>
      <x:c r="N134" s="4"/>
      <x:c r="O134" s="2"/>
    </x:row>
    <x:row r="135">
      <x:c r="A135" s="2"/>
      <x:c r="B135" s="2"/>
      <x:c r="C135" s="2"/>
      <x:c r="D135" s="2"/>
      <x:c r="E135" s="2"/>
      <x:c r="F135" s="2"/>
      <x:c r="G135" s="3"/>
      <x:c r="H135" s="2"/>
      <x:c r="I135" s="2"/>
      <x:c r="J135" s="2"/>
      <x:c r="K135" s="2"/>
      <x:c r="L135" s="2"/>
      <x:c r="M135" s="4"/>
      <x:c r="N135" s="4"/>
      <x:c r="O135" s="2"/>
    </x:row>
    <x:row r="136">
      <x:c r="A136" s="2"/>
      <x:c r="B136" s="2"/>
      <x:c r="C136" s="2"/>
      <x:c r="D136" s="2"/>
      <x:c r="E136" s="2"/>
      <x:c r="F136" s="2"/>
      <x:c r="G136" s="3"/>
      <x:c r="H136" s="2"/>
      <x:c r="I136" s="2"/>
      <x:c r="J136" s="2"/>
      <x:c r="K136" s="2"/>
      <x:c r="L136" s="2"/>
      <x:c r="M136" s="4"/>
      <x:c r="N136" s="4"/>
      <x:c r="O136" s="2"/>
    </x:row>
    <x:row r="137">
      <x:c r="A137" s="2"/>
      <x:c r="B137" s="2"/>
      <x:c r="C137" s="2"/>
      <x:c r="D137" s="2"/>
      <x:c r="E137" s="2"/>
      <x:c r="F137" s="2"/>
      <x:c r="G137" s="3"/>
      <x:c r="H137" s="2"/>
      <x:c r="I137" s="2"/>
      <x:c r="J137" s="2"/>
      <x:c r="K137" s="2"/>
      <x:c r="L137" s="2"/>
      <x:c r="M137" s="4"/>
      <x:c r="N137" s="4"/>
      <x:c r="O137" s="2"/>
    </x:row>
    <x:row r="138">
      <x:c r="A138" s="2"/>
      <x:c r="B138" s="2"/>
      <x:c r="C138" s="2"/>
      <x:c r="D138" s="2"/>
      <x:c r="E138" s="2"/>
      <x:c r="F138" s="2"/>
      <x:c r="G138" s="3"/>
      <x:c r="H138" s="2"/>
      <x:c r="I138" s="2"/>
      <x:c r="J138" s="2"/>
      <x:c r="K138" s="2"/>
      <x:c r="L138" s="2"/>
      <x:c r="M138" s="4"/>
      <x:c r="N138" s="4"/>
      <x:c r="O138" s="2"/>
    </x:row>
    <x:row r="139">
      <x:c r="A139" s="2"/>
      <x:c r="B139" s="2"/>
      <x:c r="C139" s="2"/>
      <x:c r="D139" s="2"/>
      <x:c r="E139" s="2"/>
      <x:c r="F139" s="2"/>
      <x:c r="G139" s="3"/>
      <x:c r="H139" s="2"/>
      <x:c r="I139" s="2"/>
      <x:c r="J139" s="2"/>
      <x:c r="K139" s="2"/>
      <x:c r="L139" s="2"/>
      <x:c r="M139" s="4"/>
      <x:c r="N139" s="4"/>
      <x:c r="O139" s="2"/>
    </x:row>
    <x:row r="140">
      <x:c r="A140" s="2"/>
      <x:c r="B140" s="2"/>
      <x:c r="C140" s="2"/>
      <x:c r="D140" s="2"/>
      <x:c r="E140" s="2"/>
      <x:c r="F140" s="2"/>
      <x:c r="G140" s="3"/>
      <x:c r="H140" s="2"/>
      <x:c r="I140" s="2"/>
      <x:c r="J140" s="2"/>
      <x:c r="K140" s="2"/>
      <x:c r="L140" s="2"/>
      <x:c r="M140" s="4"/>
      <x:c r="N140" s="4"/>
      <x:c r="O140" s="2"/>
    </x:row>
    <x:row r="141">
      <x:c r="A141" s="2"/>
      <x:c r="B141" s="2"/>
      <x:c r="C141" s="2"/>
      <x:c r="D141" s="2"/>
      <x:c r="E141" s="2"/>
      <x:c r="F141" s="2"/>
      <x:c r="G141" s="3"/>
      <x:c r="H141" s="2"/>
      <x:c r="I141" s="2"/>
      <x:c r="J141" s="2"/>
      <x:c r="K141" s="2"/>
      <x:c r="L141" s="2"/>
      <x:c r="M141" s="4"/>
      <x:c r="N141" s="4"/>
      <x:c r="O141" s="2"/>
    </x:row>
    <x:row r="142">
      <x:c r="A142" s="2"/>
      <x:c r="B142" s="2"/>
      <x:c r="C142" s="2"/>
      <x:c r="D142" s="2"/>
      <x:c r="E142" s="2"/>
      <x:c r="F142" s="2"/>
      <x:c r="G142" s="3"/>
      <x:c r="H142" s="2"/>
      <x:c r="I142" s="2"/>
      <x:c r="J142" s="2"/>
      <x:c r="K142" s="2"/>
      <x:c r="L142" s="2"/>
      <x:c r="M142" s="4"/>
      <x:c r="N142" s="4"/>
      <x:c r="O142" s="2"/>
    </x:row>
    <x:row r="143">
      <x:c r="A143" s="2"/>
      <x:c r="B143" s="2"/>
      <x:c r="C143" s="2"/>
      <x:c r="D143" s="2"/>
      <x:c r="E143" s="2"/>
      <x:c r="F143" s="2"/>
      <x:c r="G143" s="3"/>
      <x:c r="H143" s="2"/>
      <x:c r="I143" s="2"/>
      <x:c r="J143" s="2"/>
      <x:c r="K143" s="2"/>
      <x:c r="L143" s="2"/>
      <x:c r="M143" s="4"/>
      <x:c r="N143" s="4"/>
      <x:c r="O143" s="2"/>
    </x:row>
    <x:row r="144">
      <x:c r="A144" s="2"/>
      <x:c r="B144" s="2"/>
      <x:c r="C144" s="2"/>
      <x:c r="D144" s="2"/>
      <x:c r="E144" s="2"/>
      <x:c r="F144" s="2"/>
      <x:c r="G144" s="3"/>
      <x:c r="H144" s="2"/>
      <x:c r="I144" s="2"/>
      <x:c r="J144" s="2"/>
      <x:c r="K144" s="2"/>
      <x:c r="L144" s="2"/>
      <x:c r="M144" s="4"/>
      <x:c r="N144" s="4"/>
      <x:c r="O144" s="2"/>
    </x:row>
    <x:row r="145">
      <x:c r="A145" s="2"/>
      <x:c r="B145" s="2"/>
      <x:c r="C145" s="2"/>
      <x:c r="D145" s="2"/>
      <x:c r="E145" s="2"/>
      <x:c r="F145" s="2"/>
      <x:c r="G145" s="3"/>
      <x:c r="H145" s="2"/>
      <x:c r="I145" s="2"/>
      <x:c r="J145" s="2"/>
      <x:c r="K145" s="2"/>
      <x:c r="L145" s="2"/>
      <x:c r="M145" s="4"/>
      <x:c r="N145" s="4"/>
      <x:c r="O145" s="2"/>
    </x:row>
    <x:row r="146">
      <x:c r="A146" s="2"/>
      <x:c r="B146" s="2"/>
      <x:c r="C146" s="2"/>
      <x:c r="D146" s="2"/>
      <x:c r="E146" s="2"/>
      <x:c r="F146" s="2"/>
      <x:c r="G146" s="3"/>
      <x:c r="H146" s="2"/>
      <x:c r="I146" s="2"/>
      <x:c r="J146" s="2"/>
      <x:c r="K146" s="2"/>
      <x:c r="L146" s="2"/>
      <x:c r="M146" s="4"/>
      <x:c r="N146" s="4"/>
      <x:c r="O146" s="2"/>
    </x:row>
    <x:row r="147">
      <x:c r="A147" s="2"/>
      <x:c r="B147" s="2"/>
      <x:c r="C147" s="2"/>
      <x:c r="D147" s="2"/>
      <x:c r="E147" s="2"/>
      <x:c r="F147" s="2"/>
      <x:c r="G147" s="3"/>
      <x:c r="H147" s="2"/>
      <x:c r="I147" s="2"/>
      <x:c r="J147" s="2"/>
      <x:c r="K147" s="2"/>
      <x:c r="L147" s="2"/>
      <x:c r="M147" s="4"/>
      <x:c r="N147" s="4"/>
      <x:c r="O147" s="2"/>
    </x:row>
    <x:row r="148">
      <x:c r="A148" s="2"/>
      <x:c r="B148" s="2"/>
      <x:c r="C148" s="2"/>
      <x:c r="D148" s="2"/>
      <x:c r="E148" s="2"/>
      <x:c r="F148" s="2"/>
      <x:c r="G148" s="3"/>
      <x:c r="H148" s="2"/>
      <x:c r="I148" s="2"/>
      <x:c r="J148" s="2"/>
      <x:c r="K148" s="2"/>
      <x:c r="L148" s="2"/>
      <x:c r="M148" s="4"/>
      <x:c r="N148" s="4"/>
      <x:c r="O148" s="2"/>
    </x:row>
    <x:row r="149">
      <x:c r="A149" s="2"/>
      <x:c r="B149" s="2"/>
      <x:c r="C149" s="2"/>
      <x:c r="D149" s="2"/>
      <x:c r="E149" s="2"/>
      <x:c r="F149" s="2"/>
      <x:c r="G149" s="3"/>
      <x:c r="H149" s="2"/>
      <x:c r="I149" s="2"/>
      <x:c r="J149" s="2"/>
      <x:c r="K149" s="2"/>
      <x:c r="L149" s="2"/>
      <x:c r="M149" s="4"/>
      <x:c r="N149" s="4"/>
      <x:c r="O149" s="2"/>
    </x:row>
    <x:row r="150">
      <x:c r="A150" s="2"/>
      <x:c r="B150" s="2"/>
      <x:c r="C150" s="2"/>
      <x:c r="D150" s="2"/>
      <x:c r="E150" s="2"/>
      <x:c r="F150" s="2"/>
      <x:c r="G150" s="3"/>
      <x:c r="H150" s="2"/>
      <x:c r="I150" s="2"/>
      <x:c r="J150" s="2"/>
      <x:c r="K150" s="2"/>
      <x:c r="L150" s="2"/>
      <x:c r="M150" s="4"/>
      <x:c r="N150" s="4"/>
      <x:c r="O150" s="2"/>
    </x:row>
    <x:row r="151">
      <x:c r="A151" s="2"/>
      <x:c r="B151" s="2"/>
      <x:c r="C151" s="2"/>
      <x:c r="D151" s="2"/>
      <x:c r="E151" s="2"/>
      <x:c r="F151" s="2"/>
      <x:c r="G151" s="3"/>
      <x:c r="H151" s="2"/>
      <x:c r="I151" s="2"/>
      <x:c r="J151" s="2"/>
      <x:c r="K151" s="2"/>
      <x:c r="L151" s="2"/>
      <x:c r="M151" s="4"/>
      <x:c r="N151" s="4"/>
      <x:c r="O151" s="2"/>
    </x:row>
    <x:row r="152">
      <x:c r="A152" s="2"/>
      <x:c r="B152" s="2"/>
      <x:c r="C152" s="2"/>
      <x:c r="D152" s="2"/>
      <x:c r="E152" s="2"/>
      <x:c r="F152" s="2"/>
      <x:c r="G152" s="3"/>
      <x:c r="H152" s="2"/>
      <x:c r="I152" s="2"/>
      <x:c r="J152" s="2"/>
      <x:c r="K152" s="2"/>
      <x:c r="L152" s="2"/>
      <x:c r="M152" s="4"/>
      <x:c r="N152" s="4"/>
      <x:c r="O152" s="2"/>
    </x:row>
    <x:row r="153">
      <x:c r="A153" s="2"/>
      <x:c r="B153" s="2"/>
      <x:c r="C153" s="2"/>
      <x:c r="D153" s="2"/>
      <x:c r="E153" s="2"/>
      <x:c r="F153" s="2"/>
      <x:c r="G153" s="3"/>
      <x:c r="H153" s="2"/>
      <x:c r="I153" s="2"/>
      <x:c r="J153" s="2"/>
      <x:c r="K153" s="2"/>
      <x:c r="L153" s="2"/>
      <x:c r="M153" s="4"/>
      <x:c r="N153" s="4"/>
      <x:c r="O153" s="2"/>
    </x:row>
    <x:row r="154">
      <x:c r="A154" s="2"/>
      <x:c r="B154" s="2"/>
      <x:c r="C154" s="2"/>
      <x:c r="D154" s="2"/>
      <x:c r="E154" s="2"/>
      <x:c r="F154" s="2"/>
      <x:c r="G154" s="3"/>
      <x:c r="H154" s="2"/>
      <x:c r="I154" s="2"/>
      <x:c r="J154" s="2"/>
      <x:c r="K154" s="2"/>
      <x:c r="L154" s="2"/>
      <x:c r="M154" s="4"/>
      <x:c r="N154" s="4"/>
      <x:c r="O154" s="2"/>
    </x:row>
    <x:row r="155">
      <x:c r="A155" s="2"/>
      <x:c r="B155" s="2"/>
      <x:c r="C155" s="2"/>
      <x:c r="D155" s="2"/>
      <x:c r="E155" s="2"/>
      <x:c r="F155" s="2"/>
      <x:c r="G155" s="3"/>
      <x:c r="H155" s="2"/>
      <x:c r="I155" s="2"/>
      <x:c r="J155" s="2"/>
      <x:c r="K155" s="2"/>
      <x:c r="L155" s="2"/>
      <x:c r="M155" s="4"/>
      <x:c r="N155" s="4"/>
      <x:c r="O155" s="2"/>
    </x:row>
    <x:row r="156">
      <x:c r="A156" s="2"/>
      <x:c r="B156" s="2"/>
      <x:c r="C156" s="2"/>
      <x:c r="D156" s="2"/>
      <x:c r="E156" s="2"/>
      <x:c r="F156" s="2"/>
      <x:c r="G156" s="3"/>
      <x:c r="H156" s="2"/>
      <x:c r="I156" s="2"/>
      <x:c r="J156" s="2"/>
      <x:c r="K156" s="2"/>
      <x:c r="L156" s="2"/>
      <x:c r="M156" s="4"/>
      <x:c r="N156" s="4"/>
      <x:c r="O156" s="2"/>
    </x:row>
    <x:row r="157">
      <x:c r="A157" s="2"/>
      <x:c r="B157" s="2"/>
      <x:c r="C157" s="2"/>
      <x:c r="D157" s="2"/>
      <x:c r="E157" s="2"/>
      <x:c r="F157" s="2"/>
      <x:c r="G157" s="3"/>
      <x:c r="H157" s="2"/>
      <x:c r="I157" s="2"/>
      <x:c r="J157" s="2"/>
      <x:c r="K157" s="2"/>
      <x:c r="L157" s="2"/>
      <x:c r="M157" s="4"/>
      <x:c r="N157" s="4"/>
      <x:c r="O157" s="2"/>
    </x:row>
    <x:row r="158">
      <x:c r="A158" s="2"/>
      <x:c r="B158" s="2"/>
      <x:c r="C158" s="2"/>
      <x:c r="D158" s="2"/>
      <x:c r="E158" s="2"/>
      <x:c r="F158" s="2"/>
      <x:c r="G158" s="3"/>
      <x:c r="H158" s="2"/>
      <x:c r="I158" s="2"/>
      <x:c r="J158" s="2"/>
      <x:c r="K158" s="2"/>
      <x:c r="L158" s="2"/>
      <x:c r="M158" s="4"/>
      <x:c r="N158" s="4"/>
      <x:c r="O158" s="2"/>
    </x:row>
    <x:row r="159">
      <x:c r="A159" s="2"/>
      <x:c r="B159" s="2"/>
      <x:c r="C159" s="2"/>
      <x:c r="D159" s="2"/>
      <x:c r="E159" s="2"/>
      <x:c r="F159" s="2"/>
      <x:c r="G159" s="3"/>
      <x:c r="H159" s="2"/>
      <x:c r="I159" s="2"/>
      <x:c r="J159" s="2"/>
      <x:c r="K159" s="2"/>
      <x:c r="L159" s="2"/>
      <x:c r="M159" s="4"/>
      <x:c r="N159" s="4"/>
      <x:c r="O159" s="2"/>
    </x:row>
    <x:row r="160">
      <x:c r="A160" s="2"/>
      <x:c r="B160" s="2"/>
      <x:c r="C160" s="2"/>
      <x:c r="D160" s="2"/>
      <x:c r="E160" s="2"/>
      <x:c r="F160" s="2"/>
      <x:c r="G160" s="3"/>
      <x:c r="H160" s="2"/>
      <x:c r="I160" s="2"/>
      <x:c r="J160" s="2"/>
      <x:c r="K160" s="2"/>
      <x:c r="L160" s="2"/>
      <x:c r="M160" s="4"/>
      <x:c r="N160" s="4"/>
      <x:c r="O160" s="2"/>
    </x:row>
    <x:row r="161">
      <x:c r="A161" s="2"/>
      <x:c r="B161" s="2"/>
      <x:c r="C161" s="2"/>
      <x:c r="D161" s="2"/>
      <x:c r="E161" s="2"/>
      <x:c r="F161" s="2"/>
      <x:c r="G161" s="3"/>
      <x:c r="H161" s="2"/>
      <x:c r="I161" s="2"/>
      <x:c r="J161" s="2"/>
      <x:c r="K161" s="2"/>
      <x:c r="L161" s="2"/>
      <x:c r="M161" s="4"/>
      <x:c r="N161" s="4"/>
      <x:c r="O161" s="2"/>
    </x:row>
    <x:row r="162">
      <x:c r="A162" s="2"/>
      <x:c r="B162" s="2"/>
      <x:c r="C162" s="2"/>
      <x:c r="D162" s="2"/>
      <x:c r="E162" s="2"/>
      <x:c r="F162" s="2"/>
      <x:c r="G162" s="3"/>
      <x:c r="H162" s="2"/>
      <x:c r="I162" s="2"/>
      <x:c r="J162" s="2"/>
      <x:c r="K162" s="2"/>
      <x:c r="L162" s="2"/>
      <x:c r="M162" s="4"/>
      <x:c r="N162" s="4"/>
      <x:c r="O162" s="2"/>
    </x:row>
    <x:row r="163">
      <x:c r="A163" s="2"/>
      <x:c r="B163" s="2"/>
      <x:c r="C163" s="2"/>
      <x:c r="D163" s="2"/>
      <x:c r="E163" s="2"/>
      <x:c r="F163" s="2"/>
      <x:c r="G163" s="3"/>
      <x:c r="H163" s="2"/>
      <x:c r="I163" s="2"/>
      <x:c r="J163" s="2"/>
      <x:c r="K163" s="2"/>
      <x:c r="L163" s="2"/>
      <x:c r="M163" s="4"/>
      <x:c r="N163" s="4"/>
      <x:c r="O163" s="2"/>
    </x:row>
    <x:row r="164">
      <x:c r="A164" s="2"/>
      <x:c r="B164" s="2"/>
      <x:c r="C164" s="2"/>
      <x:c r="D164" s="2"/>
      <x:c r="E164" s="2"/>
      <x:c r="F164" s="2"/>
      <x:c r="G164" s="3"/>
      <x:c r="H164" s="2"/>
      <x:c r="I164" s="2"/>
      <x:c r="J164" s="2"/>
      <x:c r="K164" s="2"/>
      <x:c r="L164" s="2"/>
      <x:c r="M164" s="4"/>
      <x:c r="N164" s="4"/>
      <x:c r="O164" s="2"/>
    </x:row>
    <x:row r="165">
      <x:c r="A165" s="2"/>
      <x:c r="B165" s="2"/>
      <x:c r="C165" s="2"/>
      <x:c r="D165" s="2"/>
      <x:c r="E165" s="2"/>
      <x:c r="F165" s="2"/>
      <x:c r="G165" s="3"/>
      <x:c r="H165" s="2"/>
      <x:c r="I165" s="2"/>
      <x:c r="J165" s="2"/>
      <x:c r="K165" s="2"/>
      <x:c r="L165" s="2"/>
      <x:c r="M165" s="4"/>
      <x:c r="N165" s="4"/>
      <x:c r="O165" s="2"/>
    </x:row>
    <x:row r="166">
      <x:c r="A166" s="2"/>
      <x:c r="B166" s="2"/>
      <x:c r="C166" s="2"/>
      <x:c r="D166" s="2"/>
      <x:c r="E166" s="2"/>
      <x:c r="F166" s="2"/>
      <x:c r="G166" s="3"/>
      <x:c r="H166" s="2"/>
      <x:c r="I166" s="2"/>
      <x:c r="J166" s="2"/>
      <x:c r="K166" s="2"/>
      <x:c r="L166" s="2"/>
      <x:c r="M166" s="4"/>
      <x:c r="N166" s="4"/>
      <x:c r="O166" s="2"/>
    </x:row>
    <x:row r="167">
      <x:c r="A167" s="2"/>
      <x:c r="B167" s="2"/>
      <x:c r="C167" s="2"/>
      <x:c r="D167" s="2"/>
      <x:c r="E167" s="2"/>
      <x:c r="F167" s="2"/>
      <x:c r="G167" s="3"/>
      <x:c r="H167" s="2"/>
      <x:c r="I167" s="2"/>
      <x:c r="J167" s="2"/>
      <x:c r="K167" s="2"/>
      <x:c r="L167" s="2"/>
      <x:c r="M167" s="4"/>
      <x:c r="N167" s="4"/>
      <x:c r="O167" s="2"/>
    </x:row>
    <x:row r="168">
      <x:c r="A168" s="2"/>
      <x:c r="B168" s="2"/>
      <x:c r="C168" s="2"/>
      <x:c r="D168" s="2"/>
      <x:c r="E168" s="2"/>
      <x:c r="F168" s="2"/>
      <x:c r="G168" s="3"/>
      <x:c r="H168" s="2"/>
      <x:c r="I168" s="2"/>
      <x:c r="J168" s="2"/>
      <x:c r="K168" s="2"/>
      <x:c r="L168" s="2"/>
      <x:c r="M168" s="4"/>
      <x:c r="N168" s="4"/>
      <x:c r="O168" s="2"/>
    </x:row>
    <x:row r="169">
      <x:c r="A169" s="2"/>
      <x:c r="B169" s="2"/>
      <x:c r="C169" s="2"/>
      <x:c r="D169" s="2"/>
      <x:c r="E169" s="2"/>
      <x:c r="F169" s="2"/>
      <x:c r="G169" s="3"/>
      <x:c r="H169" s="2"/>
      <x:c r="I169" s="2"/>
      <x:c r="J169" s="2"/>
      <x:c r="K169" s="2"/>
      <x:c r="L169" s="2"/>
      <x:c r="M169" s="4"/>
      <x:c r="N169" s="4"/>
      <x:c r="O169" s="2"/>
    </x:row>
    <x:row r="170">
      <x:c r="A170" s="2"/>
      <x:c r="B170" s="2"/>
      <x:c r="C170" s="2"/>
      <x:c r="D170" s="2"/>
      <x:c r="E170" s="2"/>
      <x:c r="F170" s="2"/>
      <x:c r="G170" s="3"/>
      <x:c r="H170" s="2"/>
      <x:c r="I170" s="2"/>
      <x:c r="J170" s="2"/>
      <x:c r="K170" s="2"/>
      <x:c r="L170" s="2"/>
      <x:c r="M170" s="4"/>
      <x:c r="N170" s="4"/>
      <x:c r="O170" s="2"/>
    </x:row>
    <x:row r="171">
      <x:c r="A171" s="2"/>
      <x:c r="B171" s="2"/>
      <x:c r="C171" s="2"/>
      <x:c r="D171" s="2"/>
      <x:c r="E171" s="2"/>
      <x:c r="F171" s="2"/>
      <x:c r="G171" s="3"/>
      <x:c r="H171" s="2"/>
      <x:c r="I171" s="2"/>
      <x:c r="J171" s="2"/>
      <x:c r="K171" s="2"/>
      <x:c r="L171" s="2"/>
      <x:c r="M171" s="4"/>
      <x:c r="N171" s="4"/>
      <x:c r="O171" s="2"/>
    </x:row>
    <x:row r="172">
      <x:c r="A172" s="2"/>
      <x:c r="B172" s="2"/>
      <x:c r="C172" s="2"/>
      <x:c r="D172" s="2"/>
      <x:c r="E172" s="2"/>
      <x:c r="F172" s="2"/>
      <x:c r="G172" s="3"/>
      <x:c r="H172" s="2"/>
      <x:c r="I172" s="2"/>
      <x:c r="J172" s="2"/>
      <x:c r="K172" s="2"/>
      <x:c r="L172" s="2"/>
      <x:c r="M172" s="4"/>
      <x:c r="N172" s="4"/>
      <x:c r="O172" s="2"/>
    </x:row>
    <x:row r="173">
      <x:c r="A173" s="2"/>
      <x:c r="B173" s="2"/>
      <x:c r="C173" s="2"/>
      <x:c r="D173" s="2"/>
      <x:c r="E173" s="2"/>
      <x:c r="F173" s="2"/>
      <x:c r="G173" s="3"/>
      <x:c r="H173" s="2"/>
      <x:c r="I173" s="2"/>
      <x:c r="J173" s="2"/>
      <x:c r="K173" s="2"/>
      <x:c r="L173" s="2"/>
      <x:c r="M173" s="4"/>
      <x:c r="N173" s="4"/>
      <x:c r="O173" s="2"/>
    </x:row>
    <x:row r="174">
      <x:c r="A174" s="2"/>
      <x:c r="B174" s="2"/>
      <x:c r="C174" s="2"/>
      <x:c r="D174" s="2"/>
      <x:c r="E174" s="2"/>
      <x:c r="F174" s="2"/>
      <x:c r="G174" s="3"/>
      <x:c r="H174" s="2"/>
      <x:c r="I174" s="2"/>
      <x:c r="J174" s="2"/>
      <x:c r="K174" s="2"/>
      <x:c r="L174" s="2"/>
      <x:c r="M174" s="4"/>
      <x:c r="N174" s="4"/>
      <x:c r="O174" s="2"/>
    </x:row>
    <x:row r="175">
      <x:c r="A175" s="2"/>
      <x:c r="B175" s="2"/>
      <x:c r="C175" s="2"/>
      <x:c r="D175" s="2"/>
      <x:c r="E175" s="2"/>
      <x:c r="F175" s="2"/>
      <x:c r="G175" s="3"/>
      <x:c r="H175" s="2"/>
      <x:c r="I175" s="2"/>
      <x:c r="J175" s="2"/>
      <x:c r="K175" s="2"/>
      <x:c r="L175" s="2"/>
      <x:c r="M175" s="4"/>
      <x:c r="N175" s="4"/>
      <x:c r="O175" s="2"/>
    </x:row>
    <x:row r="176">
      <x:c r="A176" s="2"/>
      <x:c r="B176" s="2"/>
      <x:c r="C176" s="2"/>
      <x:c r="D176" s="2"/>
      <x:c r="E176" s="2"/>
      <x:c r="F176" s="2"/>
      <x:c r="G176" s="3"/>
      <x:c r="H176" s="2"/>
      <x:c r="I176" s="2"/>
      <x:c r="J176" s="2"/>
      <x:c r="K176" s="2"/>
      <x:c r="L176" s="2"/>
      <x:c r="M176" s="4"/>
      <x:c r="N176" s="4"/>
      <x:c r="O176" s="2"/>
    </x:row>
    <x:row r="177">
      <x:c r="A177" s="2"/>
      <x:c r="B177" s="2"/>
      <x:c r="C177" s="2"/>
      <x:c r="D177" s="2"/>
      <x:c r="E177" s="2"/>
      <x:c r="F177" s="2"/>
      <x:c r="G177" s="3"/>
      <x:c r="H177" s="2"/>
      <x:c r="I177" s="2"/>
      <x:c r="J177" s="2"/>
      <x:c r="K177" s="2"/>
      <x:c r="L177" s="2"/>
      <x:c r="M177" s="4"/>
      <x:c r="N177" s="4"/>
      <x:c r="O177" s="2"/>
    </x:row>
    <x:row r="178">
      <x:c r="A178" s="2"/>
      <x:c r="B178" s="2"/>
      <x:c r="C178" s="2"/>
      <x:c r="D178" s="2"/>
      <x:c r="E178" s="2"/>
      <x:c r="F178" s="2"/>
      <x:c r="G178" s="3"/>
      <x:c r="H178" s="2"/>
      <x:c r="I178" s="2"/>
      <x:c r="J178" s="2"/>
      <x:c r="K178" s="2"/>
      <x:c r="L178" s="2"/>
      <x:c r="M178" s="4"/>
      <x:c r="N178" s="4"/>
      <x:c r="O178" s="2"/>
    </x:row>
    <x:row r="179">
      <x:c r="A179" s="2"/>
      <x:c r="B179" s="2"/>
      <x:c r="C179" s="2"/>
      <x:c r="D179" s="2"/>
      <x:c r="E179" s="2"/>
      <x:c r="F179" s="2"/>
      <x:c r="G179" s="3"/>
      <x:c r="H179" s="2"/>
      <x:c r="I179" s="2"/>
      <x:c r="J179" s="2"/>
      <x:c r="K179" s="2"/>
      <x:c r="L179" s="2"/>
      <x:c r="M179" s="4"/>
      <x:c r="N179" s="4"/>
      <x:c r="O179" s="2"/>
    </x:row>
    <x:row r="180">
      <x:c r="A180" s="2"/>
      <x:c r="B180" s="2"/>
      <x:c r="C180" s="2"/>
      <x:c r="D180" s="2"/>
      <x:c r="E180" s="2"/>
      <x:c r="F180" s="2"/>
      <x:c r="G180" s="3"/>
      <x:c r="H180" s="2"/>
      <x:c r="I180" s="2"/>
      <x:c r="J180" s="2"/>
      <x:c r="K180" s="2"/>
      <x:c r="L180" s="2"/>
      <x:c r="M180" s="4"/>
      <x:c r="N180" s="4"/>
      <x:c r="O180" s="2"/>
    </x:row>
    <x:row r="181">
      <x:c r="A181" s="2"/>
      <x:c r="B181" s="2"/>
      <x:c r="C181" s="2"/>
      <x:c r="D181" s="2"/>
      <x:c r="E181" s="2"/>
      <x:c r="F181" s="2"/>
      <x:c r="G181" s="3"/>
      <x:c r="H181" s="2"/>
      <x:c r="I181" s="2"/>
      <x:c r="J181" s="2"/>
      <x:c r="K181" s="2"/>
      <x:c r="L181" s="2"/>
      <x:c r="M181" s="4"/>
      <x:c r="N181" s="4"/>
      <x:c r="O181" s="2"/>
    </x:row>
    <x:row r="182">
      <x:c r="A182" s="2"/>
      <x:c r="B182" s="2"/>
      <x:c r="C182" s="2"/>
      <x:c r="D182" s="2"/>
      <x:c r="E182" s="2"/>
      <x:c r="F182" s="2"/>
      <x:c r="G182" s="3"/>
      <x:c r="H182" s="2"/>
      <x:c r="I182" s="2"/>
      <x:c r="J182" s="2"/>
      <x:c r="K182" s="2"/>
      <x:c r="L182" s="2"/>
      <x:c r="M182" s="4"/>
      <x:c r="N182" s="4"/>
      <x:c r="O182" s="2"/>
    </x:row>
    <x:row r="183">
      <x:c r="A183" s="2"/>
      <x:c r="B183" s="2"/>
      <x:c r="C183" s="2"/>
      <x:c r="D183" s="2"/>
      <x:c r="E183" s="2"/>
      <x:c r="F183" s="2"/>
      <x:c r="G183" s="3"/>
      <x:c r="H183" s="2"/>
      <x:c r="I183" s="2"/>
      <x:c r="J183" s="2"/>
      <x:c r="K183" s="2"/>
      <x:c r="L183" s="2"/>
      <x:c r="M183" s="4"/>
      <x:c r="N183" s="4"/>
      <x:c r="O183" s="2"/>
    </x:row>
    <x:row r="184">
      <x:c r="A184" s="2"/>
      <x:c r="B184" s="2"/>
      <x:c r="C184" s="2"/>
      <x:c r="D184" s="2"/>
      <x:c r="E184" s="2"/>
      <x:c r="F184" s="2"/>
      <x:c r="G184" s="3"/>
      <x:c r="H184" s="2"/>
      <x:c r="I184" s="2"/>
      <x:c r="J184" s="2"/>
      <x:c r="K184" s="2"/>
      <x:c r="L184" s="2"/>
      <x:c r="M184" s="4"/>
      <x:c r="N184" s="4"/>
      <x:c r="O184" s="2"/>
    </x:row>
    <x:row r="185">
      <x:c r="A185" s="2"/>
      <x:c r="B185" s="2"/>
      <x:c r="C185" s="2"/>
      <x:c r="D185" s="2"/>
      <x:c r="E185" s="2"/>
      <x:c r="F185" s="2"/>
      <x:c r="G185" s="3"/>
      <x:c r="H185" s="2"/>
      <x:c r="I185" s="2"/>
      <x:c r="J185" s="2"/>
      <x:c r="K185" s="2"/>
      <x:c r="L185" s="2"/>
      <x:c r="M185" s="4"/>
      <x:c r="N185" s="4"/>
      <x:c r="O185" s="2"/>
    </x:row>
    <x:row r="186">
      <x:c r="A186" s="2"/>
      <x:c r="B186" s="2"/>
      <x:c r="C186" s="2"/>
      <x:c r="D186" s="2"/>
      <x:c r="E186" s="2"/>
      <x:c r="F186" s="2"/>
      <x:c r="G186" s="3"/>
      <x:c r="H186" s="2"/>
      <x:c r="I186" s="2"/>
      <x:c r="J186" s="2"/>
      <x:c r="K186" s="2"/>
      <x:c r="L186" s="2"/>
      <x:c r="M186" s="4"/>
      <x:c r="N186" s="4"/>
      <x:c r="O186" s="2"/>
    </x:row>
    <x:row r="187">
      <x:c r="A187" s="2"/>
      <x:c r="B187" s="2"/>
      <x:c r="C187" s="2"/>
      <x:c r="D187" s="2"/>
      <x:c r="E187" s="2"/>
      <x:c r="F187" s="2"/>
      <x:c r="G187" s="3"/>
      <x:c r="H187" s="2"/>
      <x:c r="I187" s="2"/>
      <x:c r="J187" s="2"/>
      <x:c r="K187" s="2"/>
      <x:c r="L187" s="2"/>
      <x:c r="M187" s="4"/>
      <x:c r="N187" s="4"/>
      <x:c r="O187" s="2"/>
    </x:row>
    <x:row r="188">
      <x:c r="A188" s="2"/>
      <x:c r="B188" s="2"/>
      <x:c r="C188" s="2"/>
      <x:c r="D188" s="2"/>
      <x:c r="E188" s="2"/>
      <x:c r="F188" s="2"/>
      <x:c r="G188" s="3"/>
      <x:c r="H188" s="2"/>
      <x:c r="I188" s="2"/>
      <x:c r="J188" s="2"/>
      <x:c r="K188" s="2"/>
      <x:c r="L188" s="2"/>
      <x:c r="M188" s="4"/>
      <x:c r="N188" s="4"/>
      <x:c r="O188" s="2"/>
    </x:row>
    <x:row r="189">
      <x:c r="A189" s="2"/>
      <x:c r="B189" s="2"/>
      <x:c r="C189" s="2"/>
      <x:c r="D189" s="2"/>
      <x:c r="E189" s="2"/>
      <x:c r="F189" s="2"/>
      <x:c r="G189" s="3"/>
      <x:c r="H189" s="2"/>
      <x:c r="I189" s="2"/>
      <x:c r="J189" s="2"/>
      <x:c r="K189" s="2"/>
      <x:c r="L189" s="2"/>
      <x:c r="M189" s="4"/>
      <x:c r="N189" s="4"/>
      <x:c r="O189" s="2"/>
    </x:row>
    <x:row r="190">
      <x:c r="A190" s="2"/>
      <x:c r="B190" s="2"/>
      <x:c r="C190" s="2"/>
      <x:c r="D190" s="2"/>
      <x:c r="E190" s="2"/>
      <x:c r="F190" s="2"/>
      <x:c r="G190" s="3"/>
      <x:c r="H190" s="2"/>
      <x:c r="I190" s="2"/>
      <x:c r="J190" s="2"/>
      <x:c r="K190" s="2"/>
      <x:c r="L190" s="2"/>
      <x:c r="M190" s="4"/>
      <x:c r="N190" s="4"/>
      <x:c r="O190" s="2"/>
    </x:row>
    <x:row r="191">
      <x:c r="A191" s="2"/>
      <x:c r="B191" s="2"/>
      <x:c r="C191" s="2"/>
      <x:c r="D191" s="2"/>
      <x:c r="E191" s="2"/>
      <x:c r="F191" s="2"/>
      <x:c r="G191" s="3"/>
      <x:c r="H191" s="2"/>
      <x:c r="I191" s="2"/>
      <x:c r="J191" s="2"/>
      <x:c r="K191" s="2"/>
      <x:c r="L191" s="2"/>
      <x:c r="M191" s="4"/>
      <x:c r="N191" s="4"/>
      <x:c r="O191" s="2"/>
    </x:row>
    <x:row r="192">
      <x:c r="A192" s="2"/>
      <x:c r="B192" s="2"/>
      <x:c r="C192" s="2"/>
      <x:c r="D192" s="2"/>
      <x:c r="E192" s="2"/>
      <x:c r="F192" s="2"/>
      <x:c r="G192" s="3"/>
      <x:c r="H192" s="2"/>
      <x:c r="I192" s="2"/>
      <x:c r="J192" s="2"/>
      <x:c r="K192" s="2"/>
      <x:c r="L192" s="2"/>
      <x:c r="M192" s="4"/>
      <x:c r="N192" s="4"/>
      <x:c r="O192" s="2"/>
    </x:row>
    <x:row r="193">
      <x:c r="A193" s="2"/>
      <x:c r="B193" s="2"/>
      <x:c r="C193" s="2"/>
      <x:c r="D193" s="2"/>
      <x:c r="E193" s="2"/>
      <x:c r="F193" s="2"/>
      <x:c r="G193" s="3"/>
      <x:c r="H193" s="2"/>
      <x:c r="I193" s="2"/>
      <x:c r="J193" s="2"/>
      <x:c r="K193" s="2"/>
      <x:c r="L193" s="2"/>
      <x:c r="M193" s="4"/>
      <x:c r="N193" s="4"/>
      <x:c r="O193" s="2"/>
    </x:row>
    <x:row r="194">
      <x:c r="A194" s="2"/>
      <x:c r="B194" s="2"/>
      <x:c r="C194" s="2"/>
      <x:c r="D194" s="2"/>
      <x:c r="E194" s="2"/>
      <x:c r="F194" s="2"/>
      <x:c r="G194" s="3"/>
      <x:c r="H194" s="2"/>
      <x:c r="I194" s="2"/>
      <x:c r="J194" s="2"/>
      <x:c r="K194" s="2"/>
      <x:c r="L194" s="2"/>
      <x:c r="M194" s="4"/>
      <x:c r="N194" s="4"/>
      <x:c r="O194" s="2"/>
    </x:row>
    <x:row r="195">
      <x:c r="A195" s="2"/>
      <x:c r="B195" s="2"/>
      <x:c r="C195" s="2"/>
      <x:c r="D195" s="2"/>
      <x:c r="E195" s="2"/>
      <x:c r="F195" s="2"/>
      <x:c r="G195" s="3"/>
      <x:c r="H195" s="2"/>
      <x:c r="I195" s="2"/>
      <x:c r="J195" s="2"/>
      <x:c r="K195" s="2"/>
      <x:c r="L195" s="2"/>
      <x:c r="M195" s="4"/>
      <x:c r="N195" s="4"/>
      <x:c r="O195" s="2"/>
    </x:row>
    <x:row r="196">
      <x:c r="A196" s="2"/>
      <x:c r="B196" s="2"/>
      <x:c r="C196" s="2"/>
      <x:c r="D196" s="2"/>
      <x:c r="E196" s="2"/>
      <x:c r="F196" s="2"/>
      <x:c r="G196" s="3"/>
      <x:c r="H196" s="2"/>
      <x:c r="I196" s="2"/>
      <x:c r="J196" s="2"/>
      <x:c r="K196" s="2"/>
      <x:c r="L196" s="2"/>
      <x:c r="M196" s="4"/>
      <x:c r="N196" s="4"/>
      <x:c r="O196" s="2"/>
    </x:row>
    <x:row r="197">
      <x:c r="A197" s="2"/>
      <x:c r="B197" s="2"/>
      <x:c r="C197" s="2"/>
      <x:c r="D197" s="2"/>
      <x:c r="E197" s="2"/>
      <x:c r="F197" s="2"/>
      <x:c r="G197" s="3"/>
      <x:c r="H197" s="2"/>
      <x:c r="I197" s="2"/>
      <x:c r="J197" s="2"/>
      <x:c r="K197" s="2"/>
      <x:c r="L197" s="2"/>
      <x:c r="M197" s="4"/>
      <x:c r="N197" s="4"/>
      <x:c r="O197" s="2"/>
    </x:row>
    <x:row r="198">
      <x:c r="A198" s="2"/>
      <x:c r="B198" s="2"/>
      <x:c r="C198" s="2"/>
      <x:c r="D198" s="2"/>
      <x:c r="E198" s="2"/>
      <x:c r="F198" s="2"/>
      <x:c r="G198" s="3"/>
      <x:c r="H198" s="2"/>
      <x:c r="I198" s="2"/>
      <x:c r="J198" s="2"/>
      <x:c r="K198" s="2"/>
      <x:c r="L198" s="2"/>
      <x:c r="M198" s="4"/>
      <x:c r="N198" s="4"/>
      <x:c r="O198" s="2"/>
    </x:row>
    <x:row r="199">
      <x:c r="A199" s="2"/>
      <x:c r="B199" s="2"/>
      <x:c r="C199" s="2"/>
      <x:c r="D199" s="2"/>
      <x:c r="E199" s="2"/>
      <x:c r="F199" s="2"/>
      <x:c r="G199" s="3"/>
      <x:c r="H199" s="2"/>
      <x:c r="I199" s="2"/>
      <x:c r="J199" s="2"/>
      <x:c r="K199" s="2"/>
      <x:c r="L199" s="2"/>
      <x:c r="M199" s="4"/>
      <x:c r="N199" s="4"/>
      <x:c r="O199" s="2"/>
    </x:row>
    <x:row r="200">
      <x:c r="A200" s="2"/>
      <x:c r="B200" s="2"/>
      <x:c r="C200" s="2"/>
      <x:c r="D200" s="2"/>
      <x:c r="E200" s="2"/>
      <x:c r="F200" s="2"/>
      <x:c r="G200" s="3"/>
      <x:c r="H200" s="2"/>
      <x:c r="I200" s="2"/>
      <x:c r="J200" s="2"/>
      <x:c r="K200" s="2"/>
      <x:c r="L200" s="2"/>
      <x:c r="M200" s="4"/>
      <x:c r="N200" s="4"/>
      <x:c r="O200" s="2"/>
    </x:row>
    <x:row r="201">
      <x:c r="A201" s="2"/>
      <x:c r="B201" s="2"/>
      <x:c r="C201" s="2"/>
      <x:c r="D201" s="2"/>
      <x:c r="E201" s="2"/>
      <x:c r="F201" s="2"/>
      <x:c r="G201" s="3"/>
      <x:c r="H201" s="2"/>
      <x:c r="I201" s="2"/>
      <x:c r="J201" s="2"/>
      <x:c r="K201" s="2"/>
      <x:c r="L201" s="2"/>
      <x:c r="M201" s="4"/>
      <x:c r="N201" s="4"/>
      <x:c r="O201" s="2"/>
    </x:row>
    <x:row r="202">
      <x:c r="A202" s="2"/>
      <x:c r="B202" s="2"/>
      <x:c r="C202" s="2"/>
      <x:c r="D202" s="2"/>
      <x:c r="E202" s="2"/>
      <x:c r="F202" s="2"/>
      <x:c r="G202" s="3"/>
      <x:c r="H202" s="2"/>
      <x:c r="I202" s="2"/>
      <x:c r="J202" s="2"/>
      <x:c r="K202" s="2"/>
      <x:c r="L202" s="2"/>
      <x:c r="M202" s="4"/>
      <x:c r="N202" s="4"/>
      <x:c r="O202" s="2"/>
    </x:row>
    <x:row r="203">
      <x:c r="A203" s="2"/>
      <x:c r="B203" s="2"/>
      <x:c r="C203" s="2"/>
      <x:c r="D203" s="2"/>
      <x:c r="E203" s="2"/>
      <x:c r="F203" s="2"/>
      <x:c r="G203" s="3"/>
      <x:c r="H203" s="2"/>
      <x:c r="I203" s="2"/>
      <x:c r="J203" s="2"/>
      <x:c r="K203" s="2"/>
      <x:c r="L203" s="2"/>
      <x:c r="M203" s="4"/>
      <x:c r="N203" s="4"/>
      <x:c r="O203" s="2"/>
    </x:row>
    <x:row r="204">
      <x:c r="A204" s="2"/>
      <x:c r="B204" s="2"/>
      <x:c r="C204" s="2"/>
      <x:c r="D204" s="2"/>
      <x:c r="E204" s="2"/>
      <x:c r="F204" s="2"/>
      <x:c r="G204" s="3"/>
      <x:c r="H204" s="2"/>
      <x:c r="I204" s="2"/>
      <x:c r="J204" s="2"/>
      <x:c r="K204" s="2"/>
      <x:c r="L204" s="2"/>
      <x:c r="M204" s="4"/>
      <x:c r="N204" s="4"/>
      <x:c r="O204" s="2"/>
    </x:row>
    <x:row r="205">
      <x:c r="A205" s="2"/>
      <x:c r="B205" s="2"/>
      <x:c r="C205" s="2"/>
      <x:c r="D205" s="2"/>
      <x:c r="E205" s="2"/>
      <x:c r="F205" s="2"/>
      <x:c r="G205" s="3"/>
      <x:c r="H205" s="2"/>
      <x:c r="I205" s="2"/>
      <x:c r="J205" s="2"/>
      <x:c r="K205" s="2"/>
      <x:c r="L205" s="2"/>
      <x:c r="M205" s="4"/>
      <x:c r="N205" s="4"/>
      <x:c r="O205" s="2"/>
    </x:row>
  </x:sheetData>
  <x:mergeCells>
    <x:mergeCell ref="A1:O1"/>
    <x:mergeCell ref="A2:O2"/>
  </x:mergeCells>
  <x:dataValidations count="5">
    <x:dataValidation type="list" sqref="B5:B205">
      <x:formula1>"PJ,PF/Doméstica"</x:formula1>
    </x:dataValidation>
    <x:dataValidation type="list" sqref="F5:F205">
      <x:formula1>"Ativo,Sem movimento,Inativo,Encerrado"</x:formula1>
    </x:dataValidation>
    <x:dataValidation type="list" sqref="I5:I205">
      <x:formula1>"A,B,C,D"</x:formula1>
    </x:dataValidation>
    <x:dataValidation type="list" sqref="J5:L205">
      <x:formula1>"Sim,Não"</x:formula1>
    </x:dataValidation>
    <x:dataValidation type="list" sqref="H5:H205">
      <x:formula1>'05_Cadastros'!$B$5:$B$11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5bc28496a14f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18" customWidth="1"/>
    <x:col min="3" max="7" width="24" customWidth="1"/>
    <x:col min="8" max="15" width="18" customWidth="1"/>
  </x:cols>
  <x:sheetData>
    <x:row r="1" ht="30" customHeight="1">
      <x:c r="A1" s="5" t="s">
        <x:v>27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.049999237060547" customHeight="1">
      <x:c r="A2" s="6" t="s">
        <x:v>28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4.04999923706055" customHeight="1">
      <x:c r="A4" s="1" t="s">
        <x:v>29</x:v>
      </x:c>
      <x:c r="B4" s="1" t="s">
        <x:v>4</x:v>
      </x:c>
      <x:c r="C4" s="1" t="s">
        <x:v>30</x:v>
      </x:c>
      <x:c r="D4" s="1" t="s">
        <x:v>31</x:v>
      </x:c>
      <x:c r="E4" s="1" t="s">
        <x:v>32</x:v>
      </x:c>
      <x:c r="F4" s="1" t="s">
        <x:v>33</x:v>
      </x:c>
      <x:c r="G4" s="1" t="s">
        <x:v>34</x:v>
      </x:c>
      <x:c r="H4" s="1" t="s">
        <x:v>35</x:v>
      </x:c>
      <x:c r="I4" s="1" t="s">
        <x:v>36</x:v>
      </x:c>
      <x:c r="J4" s="1" t="s">
        <x:v>37</x:v>
      </x:c>
      <x:c r="K4" s="1" t="s">
        <x:v>38</x:v>
      </x:c>
      <x:c r="L4" s="1" t="s">
        <x:v>39</x:v>
      </x:c>
      <x:c r="M4" s="1" t="s">
        <x:v>40</x:v>
      </x:c>
      <x:c r="N4" s="1" t="s">
        <x:v>41</x:v>
      </x:c>
      <x:c r="O4" s="1" t="s">
        <x:v>16</x:v>
      </x:c>
    </x:row>
    <x:row r="5">
      <x:c r="A5" s="2" t="s">
        <x:v>17</x:v>
      </x:c>
      <x:c r="B5" s="2" t="s">
        <x:v>19</x:v>
      </x:c>
      <x:c r="C5" s="2" t="s">
        <x:v>22</x:v>
      </x:c>
      <x:c r="D5" s="2" t="s">
        <x:v>42</x:v>
      </x:c>
      <x:c r="E5" s="2"/>
      <x:c r="F5" s="2" t="s">
        <x:v>43</x:v>
      </x:c>
      <x:c r="G5" s="2" t="s">
        <x:v>44</x:v>
      </x:c>
      <x:c r="H5" s="2" t="s">
        <x:v>44</x:v>
      </x:c>
      <x:c r="I5" s="2" t="str">
        <x:v>Automática/API</x:v>
      </x:c>
      <x:c r="J5" s="2">
        <x:v>2</x:v>
      </x:c>
      <x:c r="K5" s="2">
        <x:v>1</x:v>
      </x:c>
      <x:c r="L5" s="2">
        <x:v>2</x:v>
      </x:c>
      <x:c r="M5" s="2">
        <x:v>2</x:v>
      </x:c>
      <x:c r="N5" s="2" t="str">
        <x:f>IF(B5="","",IF(OR(C5="Sem movimento",C5="Inativo",C5="Encerrado"),'07_Regras_Complexidade'!$E$5,IF(COUNT(J5:M5)&lt;4,'07_Regras_Complexidade'!$E$17,IF(SUM(J5:M5)&lt;='07_Regras_Complexidade'!$D$6,'07_Regras_Complexidade'!$E$6,IF(SUM(J5:M5)&lt;='07_Regras_Complexidade'!$D$7,'07_Regras_Complexidade'!$E$7,IF(SUM(J5:M5)&lt;='07_Regras_Complexidade'!$D$8,'07_Regras_Complexidade'!$E$8,IF(SUM(J5:M5)&lt;='07_Regras_Complexidade'!$D$9,'07_Regras_Complexidade'!$E$9,'07_Regras_Complexidade'!$E$10)))))))</x:f>
        <x:v>C2</x:v>
      </x:c>
      <x:c r="O5" s="2" t="s">
        <x:v>21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 t="str">
        <x:f>IF(B6="","",IF(OR(C6="Sem movimento",C6="Inativo",C6="Encerrado"),'07_Regras_Complexidade'!$E$5,IF(COUNT(J6:M6)&lt;4,'07_Regras_Complexidade'!$E$17,IF(SUM(J6:M6)&lt;='07_Regras_Complexidade'!$D$6,'07_Regras_Complexidade'!$E$6,IF(SUM(J6:M6)&lt;='07_Regras_Complexidade'!$D$7,'07_Regras_Complexidade'!$E$7,IF(SUM(J6:M6)&lt;='07_Regras_Complexidade'!$D$8,'07_Regras_Complexidade'!$E$8,IF(SUM(J6:M6)&lt;='07_Regras_Complexidade'!$D$9,'07_Regras_Complexidade'!$E$9,'07_Regras_Complexidade'!$E$10)))))))</x:f>
      </x:c>
      <x:c r="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 t="str">
        <x:f>IF(B7="","",IF(OR(C7="Sem movimento",C7="Inativo",C7="Encerrado"),'07_Regras_Complexidade'!$E$5,IF(COUNT(J7:M7)&lt;4,'07_Regras_Complexidade'!$E$17,IF(SUM(J7:M7)&lt;='07_Regras_Complexidade'!$D$6,'07_Regras_Complexidade'!$E$6,IF(SUM(J7:M7)&lt;='07_Regras_Complexidade'!$D$7,'07_Regras_Complexidade'!$E$7,IF(SUM(J7:M7)&lt;='07_Regras_Complexidade'!$D$8,'07_Regras_Complexidade'!$E$8,IF(SUM(J7:M7)&lt;='07_Regras_Complexidade'!$D$9,'07_Regras_Complexidade'!$E$9,'07_Regras_Complexidade'!$E$10)))))))</x:f>
      </x:c>
      <x:c r="O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 t="str">
        <x:f>IF(B8="","",IF(OR(C8="Sem movimento",C8="Inativo",C8="Encerrado"),'07_Regras_Complexidade'!$E$5,IF(COUNT(J8:M8)&lt;4,'07_Regras_Complexidade'!$E$17,IF(SUM(J8:M8)&lt;='07_Regras_Complexidade'!$D$6,'07_Regras_Complexidade'!$E$6,IF(SUM(J8:M8)&lt;='07_Regras_Complexidade'!$D$7,'07_Regras_Complexidade'!$E$7,IF(SUM(J8:M8)&lt;='07_Regras_Complexidade'!$D$8,'07_Regras_Complexidade'!$E$8,IF(SUM(J8:M8)&lt;='07_Regras_Complexidade'!$D$9,'07_Regras_Complexidade'!$E$9,'07_Regras_Complexidade'!$E$10)))))))</x:f>
      </x:c>
      <x:c r="O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 t="str">
        <x:f>IF(B9="","",IF(OR(C9="Sem movimento",C9="Inativo",C9="Encerrado"),'07_Regras_Complexidade'!$E$5,IF(COUNT(J9:M9)&lt;4,'07_Regras_Complexidade'!$E$17,IF(SUM(J9:M9)&lt;='07_Regras_Complexidade'!$D$6,'07_Regras_Complexidade'!$E$6,IF(SUM(J9:M9)&lt;='07_Regras_Complexidade'!$D$7,'07_Regras_Complexidade'!$E$7,IF(SUM(J9:M9)&lt;='07_Regras_Complexidade'!$D$8,'07_Regras_Complexidade'!$E$8,IF(SUM(J9:M9)&lt;='07_Regras_Complexidade'!$D$9,'07_Regras_Complexidade'!$E$9,'07_Regras_Complexidade'!$E$10)))))))</x:f>
      </x:c>
      <x:c r="O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 t="str">
        <x:f>IF(B10="","",IF(OR(C10="Sem movimento",C10="Inativo",C10="Encerrado"),'07_Regras_Complexidade'!$E$5,IF(COUNT(J10:M10)&lt;4,'07_Regras_Complexidade'!$E$17,IF(SUM(J10:M10)&lt;='07_Regras_Complexidade'!$D$6,'07_Regras_Complexidade'!$E$6,IF(SUM(J10:M10)&lt;='07_Regras_Complexidade'!$D$7,'07_Regras_Complexidade'!$E$7,IF(SUM(J10:M10)&lt;='07_Regras_Complexidade'!$D$8,'07_Regras_Complexidade'!$E$8,IF(SUM(J10:M10)&lt;='07_Regras_Complexidade'!$D$9,'07_Regras_Complexidade'!$E$9,'07_Regras_Complexidade'!$E$10)))))))</x:f>
      </x:c>
      <x:c r="O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 t="str">
        <x:f>IF(B11="","",IF(OR(C11="Sem movimento",C11="Inativo",C11="Encerrado"),'07_Regras_Complexidade'!$E$5,IF(COUNT(J11:M11)&lt;4,'07_Regras_Complexidade'!$E$17,IF(SUM(J11:M11)&lt;='07_Regras_Complexidade'!$D$6,'07_Regras_Complexidade'!$E$6,IF(SUM(J11:M11)&lt;='07_Regras_Complexidade'!$D$7,'07_Regras_Complexidade'!$E$7,IF(SUM(J11:M11)&lt;='07_Regras_Complexidade'!$D$8,'07_Regras_Complexidade'!$E$8,IF(SUM(J11:M11)&lt;='07_Regras_Complexidade'!$D$9,'07_Regras_Complexidade'!$E$9,'07_Regras_Complexidade'!$E$10)))))))</x:f>
      </x:c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 t="str">
        <x:f>IF(B12="","",IF(OR(C12="Sem movimento",C12="Inativo",C12="Encerrado"),'07_Regras_Complexidade'!$E$5,IF(COUNT(J12:M12)&lt;4,'07_Regras_Complexidade'!$E$17,IF(SUM(J12:M12)&lt;='07_Regras_Complexidade'!$D$6,'07_Regras_Complexidade'!$E$6,IF(SUM(J12:M12)&lt;='07_Regras_Complexidade'!$D$7,'07_Regras_Complexidade'!$E$7,IF(SUM(J12:M12)&lt;='07_Regras_Complexidade'!$D$8,'07_Regras_Complexidade'!$E$8,IF(SUM(J12:M12)&lt;='07_Regras_Complexidade'!$D$9,'07_Regras_Complexidade'!$E$9,'07_Regras_Complexidade'!$E$10)))))))</x:f>
      </x:c>
      <x:c r="O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 t="str">
        <x:f>IF(B13="","",IF(OR(C13="Sem movimento",C13="Inativo",C13="Encerrado"),'07_Regras_Complexidade'!$E$5,IF(COUNT(J13:M13)&lt;4,'07_Regras_Complexidade'!$E$17,IF(SUM(J13:M13)&lt;='07_Regras_Complexidade'!$D$6,'07_Regras_Complexidade'!$E$6,IF(SUM(J13:M13)&lt;='07_Regras_Complexidade'!$D$7,'07_Regras_Complexidade'!$E$7,IF(SUM(J13:M13)&lt;='07_Regras_Complexidade'!$D$8,'07_Regras_Complexidade'!$E$8,IF(SUM(J13:M13)&lt;='07_Regras_Complexidade'!$D$9,'07_Regras_Complexidade'!$E$9,'07_Regras_Complexidade'!$E$10)))))))</x:f>
      </x:c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 t="str">
        <x:f>IF(B14="","",IF(OR(C14="Sem movimento",C14="Inativo",C14="Encerrado"),'07_Regras_Complexidade'!$E$5,IF(COUNT(J14:M14)&lt;4,'07_Regras_Complexidade'!$E$17,IF(SUM(J14:M14)&lt;='07_Regras_Complexidade'!$D$6,'07_Regras_Complexidade'!$E$6,IF(SUM(J14:M14)&lt;='07_Regras_Complexidade'!$D$7,'07_Regras_Complexidade'!$E$7,IF(SUM(J14:M14)&lt;='07_Regras_Complexidade'!$D$8,'07_Regras_Complexidade'!$E$8,IF(SUM(J14:M14)&lt;='07_Regras_Complexidade'!$D$9,'07_Regras_Complexidade'!$E$9,'07_Regras_Complexidade'!$E$10)))))))</x:f>
      </x:c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 t="str">
        <x:f>IF(B15="","",IF(OR(C15="Sem movimento",C15="Inativo",C15="Encerrado"),'07_Regras_Complexidade'!$E$5,IF(COUNT(J15:M15)&lt;4,'07_Regras_Complexidade'!$E$17,IF(SUM(J15:M15)&lt;='07_Regras_Complexidade'!$D$6,'07_Regras_Complexidade'!$E$6,IF(SUM(J15:M15)&lt;='07_Regras_Complexidade'!$D$7,'07_Regras_Complexidade'!$E$7,IF(SUM(J15:M15)&lt;='07_Regras_Complexidade'!$D$8,'07_Regras_Complexidade'!$E$8,IF(SUM(J15:M15)&lt;='07_Regras_Complexidade'!$D$9,'07_Regras_Complexidade'!$E$9,'07_Regras_Complexidade'!$E$10)))))))</x:f>
      </x:c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 t="str">
        <x:f>IF(B16="","",IF(OR(C16="Sem movimento",C16="Inativo",C16="Encerrado"),'07_Regras_Complexidade'!$E$5,IF(COUNT(J16:M16)&lt;4,'07_Regras_Complexidade'!$E$17,IF(SUM(J16:M16)&lt;='07_Regras_Complexidade'!$D$6,'07_Regras_Complexidade'!$E$6,IF(SUM(J16:M16)&lt;='07_Regras_Complexidade'!$D$7,'07_Regras_Complexidade'!$E$7,IF(SUM(J16:M16)&lt;='07_Regras_Complexidade'!$D$8,'07_Regras_Complexidade'!$E$8,IF(SUM(J16:M16)&lt;='07_Regras_Complexidade'!$D$9,'07_Regras_Complexidade'!$E$9,'07_Regras_Complexidade'!$E$10)))))))</x:f>
      </x:c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 t="str">
        <x:f>IF(B17="","",IF(OR(C17="Sem movimento",C17="Inativo",C17="Encerrado"),'07_Regras_Complexidade'!$E$5,IF(COUNT(J17:M17)&lt;4,'07_Regras_Complexidade'!$E$17,IF(SUM(J17:M17)&lt;='07_Regras_Complexidade'!$D$6,'07_Regras_Complexidade'!$E$6,IF(SUM(J17:M17)&lt;='07_Regras_Complexidade'!$D$7,'07_Regras_Complexidade'!$E$7,IF(SUM(J17:M17)&lt;='07_Regras_Complexidade'!$D$8,'07_Regras_Complexidade'!$E$8,IF(SUM(J17:M17)&lt;='07_Regras_Complexidade'!$D$9,'07_Regras_Complexidade'!$E$9,'07_Regras_Complexidade'!$E$10)))))))</x:f>
      </x:c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 t="str">
        <x:f>IF(B18="","",IF(OR(C18="Sem movimento",C18="Inativo",C18="Encerrado"),'07_Regras_Complexidade'!$E$5,IF(COUNT(J18:M18)&lt;4,'07_Regras_Complexidade'!$E$17,IF(SUM(J18:M18)&lt;='07_Regras_Complexidade'!$D$6,'07_Regras_Complexidade'!$E$6,IF(SUM(J18:M18)&lt;='07_Regras_Complexidade'!$D$7,'07_Regras_Complexidade'!$E$7,IF(SUM(J18:M18)&lt;='07_Regras_Complexidade'!$D$8,'07_Regras_Complexidade'!$E$8,IF(SUM(J18:M18)&lt;='07_Regras_Complexidade'!$D$9,'07_Regras_Complexidade'!$E$9,'07_Regras_Complexidade'!$E$10)))))))</x:f>
      </x:c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 t="str">
        <x:f>IF(B19="","",IF(OR(C19="Sem movimento",C19="Inativo",C19="Encerrado"),'07_Regras_Complexidade'!$E$5,IF(COUNT(J19:M19)&lt;4,'07_Regras_Complexidade'!$E$17,IF(SUM(J19:M19)&lt;='07_Regras_Complexidade'!$D$6,'07_Regras_Complexidade'!$E$6,IF(SUM(J19:M19)&lt;='07_Regras_Complexidade'!$D$7,'07_Regras_Complexidade'!$E$7,IF(SUM(J19:M19)&lt;='07_Regras_Complexidade'!$D$8,'07_Regras_Complexidade'!$E$8,IF(SUM(J19:M19)&lt;='07_Regras_Complexidade'!$D$9,'07_Regras_Complexidade'!$E$9,'07_Regras_Complexidade'!$E$10)))))))</x:f>
      </x:c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 t="str">
        <x:f>IF(B20="","",IF(OR(C20="Sem movimento",C20="Inativo",C20="Encerrado"),'07_Regras_Complexidade'!$E$5,IF(COUNT(J20:M20)&lt;4,'07_Regras_Complexidade'!$E$17,IF(SUM(J20:M20)&lt;='07_Regras_Complexidade'!$D$6,'07_Regras_Complexidade'!$E$6,IF(SUM(J20:M20)&lt;='07_Regras_Complexidade'!$D$7,'07_Regras_Complexidade'!$E$7,IF(SUM(J20:M20)&lt;='07_Regras_Complexidade'!$D$8,'07_Regras_Complexidade'!$E$8,IF(SUM(J20:M20)&lt;='07_Regras_Complexidade'!$D$9,'07_Regras_Complexidade'!$E$9,'07_Regras_Complexidade'!$E$10)))))))</x:f>
      </x:c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 t="str">
        <x:f>IF(B21="","",IF(OR(C21="Sem movimento",C21="Inativo",C21="Encerrado"),'07_Regras_Complexidade'!$E$5,IF(COUNT(J21:M21)&lt;4,'07_Regras_Complexidade'!$E$17,IF(SUM(J21:M21)&lt;='07_Regras_Complexidade'!$D$6,'07_Regras_Complexidade'!$E$6,IF(SUM(J21:M21)&lt;='07_Regras_Complexidade'!$D$7,'07_Regras_Complexidade'!$E$7,IF(SUM(J21:M21)&lt;='07_Regras_Complexidade'!$D$8,'07_Regras_Complexidade'!$E$8,IF(SUM(J21:M21)&lt;='07_Regras_Complexidade'!$D$9,'07_Regras_Complexidade'!$E$9,'07_Regras_Complexidade'!$E$10)))))))</x:f>
      </x:c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 t="str">
        <x:f>IF(B22="","",IF(OR(C22="Sem movimento",C22="Inativo",C22="Encerrado"),'07_Regras_Complexidade'!$E$5,IF(COUNT(J22:M22)&lt;4,'07_Regras_Complexidade'!$E$17,IF(SUM(J22:M22)&lt;='07_Regras_Complexidade'!$D$6,'07_Regras_Complexidade'!$E$6,IF(SUM(J22:M22)&lt;='07_Regras_Complexidade'!$D$7,'07_Regras_Complexidade'!$E$7,IF(SUM(J22:M22)&lt;='07_Regras_Complexidade'!$D$8,'07_Regras_Complexidade'!$E$8,IF(SUM(J22:M22)&lt;='07_Regras_Complexidade'!$D$9,'07_Regras_Complexidade'!$E$9,'07_Regras_Complexidade'!$E$10)))))))</x:f>
      </x:c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 t="str">
        <x:f>IF(B23="","",IF(OR(C23="Sem movimento",C23="Inativo",C23="Encerrado"),'07_Regras_Complexidade'!$E$5,IF(COUNT(J23:M23)&lt;4,'07_Regras_Complexidade'!$E$17,IF(SUM(J23:M23)&lt;='07_Regras_Complexidade'!$D$6,'07_Regras_Complexidade'!$E$6,IF(SUM(J23:M23)&lt;='07_Regras_Complexidade'!$D$7,'07_Regras_Complexidade'!$E$7,IF(SUM(J23:M23)&lt;='07_Regras_Complexidade'!$D$8,'07_Regras_Complexidade'!$E$8,IF(SUM(J23:M23)&lt;='07_Regras_Complexidade'!$D$9,'07_Regras_Complexidade'!$E$9,'07_Regras_Complexidade'!$E$10)))))))</x:f>
      </x:c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 t="str">
        <x:f>IF(B24="","",IF(OR(C24="Sem movimento",C24="Inativo",C24="Encerrado"),'07_Regras_Complexidade'!$E$5,IF(COUNT(J24:M24)&lt;4,'07_Regras_Complexidade'!$E$17,IF(SUM(J24:M24)&lt;='07_Regras_Complexidade'!$D$6,'07_Regras_Complexidade'!$E$6,IF(SUM(J24:M24)&lt;='07_Regras_Complexidade'!$D$7,'07_Regras_Complexidade'!$E$7,IF(SUM(J24:M24)&lt;='07_Regras_Complexidade'!$D$8,'07_Regras_Complexidade'!$E$8,IF(SUM(J24:M24)&lt;='07_Regras_Complexidade'!$D$9,'07_Regras_Complexidade'!$E$9,'07_Regras_Complexidade'!$E$10)))))))</x:f>
      </x:c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 t="str">
        <x:f>IF(B25="","",IF(OR(C25="Sem movimento",C25="Inativo",C25="Encerrado"),'07_Regras_Complexidade'!$E$5,IF(COUNT(J25:M25)&lt;4,'07_Regras_Complexidade'!$E$17,IF(SUM(J25:M25)&lt;='07_Regras_Complexidade'!$D$6,'07_Regras_Complexidade'!$E$6,IF(SUM(J25:M25)&lt;='07_Regras_Complexidade'!$D$7,'07_Regras_Complexidade'!$E$7,IF(SUM(J25:M25)&lt;='07_Regras_Complexidade'!$D$8,'07_Regras_Complexidade'!$E$8,IF(SUM(J25:M25)&lt;='07_Regras_Complexidade'!$D$9,'07_Regras_Complexidade'!$E$9,'07_Regras_Complexidade'!$E$10)))))))</x:f>
      </x:c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 t="str">
        <x:f>IF(B26="","",IF(OR(C26="Sem movimento",C26="Inativo",C26="Encerrado"),'07_Regras_Complexidade'!$E$5,IF(COUNT(J26:M26)&lt;4,'07_Regras_Complexidade'!$E$17,IF(SUM(J26:M26)&lt;='07_Regras_Complexidade'!$D$6,'07_Regras_Complexidade'!$E$6,IF(SUM(J26:M26)&lt;='07_Regras_Complexidade'!$D$7,'07_Regras_Complexidade'!$E$7,IF(SUM(J26:M26)&lt;='07_Regras_Complexidade'!$D$8,'07_Regras_Complexidade'!$E$8,IF(SUM(J26:M26)&lt;='07_Regras_Complexidade'!$D$9,'07_Regras_Complexidade'!$E$9,'07_Regras_Complexidade'!$E$10)))))))</x:f>
      </x:c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 t="str">
        <x:f>IF(B27="","",IF(OR(C27="Sem movimento",C27="Inativo",C27="Encerrado"),'07_Regras_Complexidade'!$E$5,IF(COUNT(J27:M27)&lt;4,'07_Regras_Complexidade'!$E$17,IF(SUM(J27:M27)&lt;='07_Regras_Complexidade'!$D$6,'07_Regras_Complexidade'!$E$6,IF(SUM(J27:M27)&lt;='07_Regras_Complexidade'!$D$7,'07_Regras_Complexidade'!$E$7,IF(SUM(J27:M27)&lt;='07_Regras_Complexidade'!$D$8,'07_Regras_Complexidade'!$E$8,IF(SUM(J27:M27)&lt;='07_Regras_Complexidade'!$D$9,'07_Regras_Complexidade'!$E$9,'07_Regras_Complexidade'!$E$10)))))))</x:f>
      </x:c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 t="str">
        <x:f>IF(B28="","",IF(OR(C28="Sem movimento",C28="Inativo",C28="Encerrado"),'07_Regras_Complexidade'!$E$5,IF(COUNT(J28:M28)&lt;4,'07_Regras_Complexidade'!$E$17,IF(SUM(J28:M28)&lt;='07_Regras_Complexidade'!$D$6,'07_Regras_Complexidade'!$E$6,IF(SUM(J28:M28)&lt;='07_Regras_Complexidade'!$D$7,'07_Regras_Complexidade'!$E$7,IF(SUM(J28:M28)&lt;='07_Regras_Complexidade'!$D$8,'07_Regras_Complexidade'!$E$8,IF(SUM(J28:M28)&lt;='07_Regras_Complexidade'!$D$9,'07_Regras_Complexidade'!$E$9,'07_Regras_Complexidade'!$E$10)))))))</x:f>
      </x:c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 t="str">
        <x:f>IF(B29="","",IF(OR(C29="Sem movimento",C29="Inativo",C29="Encerrado"),'07_Regras_Complexidade'!$E$5,IF(COUNT(J29:M29)&lt;4,'07_Regras_Complexidade'!$E$17,IF(SUM(J29:M29)&lt;='07_Regras_Complexidade'!$D$6,'07_Regras_Complexidade'!$E$6,IF(SUM(J29:M29)&lt;='07_Regras_Complexidade'!$D$7,'07_Regras_Complexidade'!$E$7,IF(SUM(J29:M29)&lt;='07_Regras_Complexidade'!$D$8,'07_Regras_Complexidade'!$E$8,IF(SUM(J29:M29)&lt;='07_Regras_Complexidade'!$D$9,'07_Regras_Complexidade'!$E$9,'07_Regras_Complexidade'!$E$10)))))))</x:f>
      </x:c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 t="str">
        <x:f>IF(B30="","",IF(OR(C30="Sem movimento",C30="Inativo",C30="Encerrado"),'07_Regras_Complexidade'!$E$5,IF(COUNT(J30:M30)&lt;4,'07_Regras_Complexidade'!$E$17,IF(SUM(J30:M30)&lt;='07_Regras_Complexidade'!$D$6,'07_Regras_Complexidade'!$E$6,IF(SUM(J30:M30)&lt;='07_Regras_Complexidade'!$D$7,'07_Regras_Complexidade'!$E$7,IF(SUM(J30:M30)&lt;='07_Regras_Complexidade'!$D$8,'07_Regras_Complexidade'!$E$8,IF(SUM(J30:M30)&lt;='07_Regras_Complexidade'!$D$9,'07_Regras_Complexidade'!$E$9,'07_Regras_Complexidade'!$E$10)))))))</x:f>
      </x:c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 t="str">
        <x:f>IF(B31="","",IF(OR(C31="Sem movimento",C31="Inativo",C31="Encerrado"),'07_Regras_Complexidade'!$E$5,IF(COUNT(J31:M31)&lt;4,'07_Regras_Complexidade'!$E$17,IF(SUM(J31:M31)&lt;='07_Regras_Complexidade'!$D$6,'07_Regras_Complexidade'!$E$6,IF(SUM(J31:M31)&lt;='07_Regras_Complexidade'!$D$7,'07_Regras_Complexidade'!$E$7,IF(SUM(J31:M31)&lt;='07_Regras_Complexidade'!$D$8,'07_Regras_Complexidade'!$E$8,IF(SUM(J31:M31)&lt;='07_Regras_Complexidade'!$D$9,'07_Regras_Complexidade'!$E$9,'07_Regras_Complexidade'!$E$10)))))))</x:f>
      </x:c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 t="str">
        <x:f>IF(B32="","",IF(OR(C32="Sem movimento",C32="Inativo",C32="Encerrado"),'07_Regras_Complexidade'!$E$5,IF(COUNT(J32:M32)&lt;4,'07_Regras_Complexidade'!$E$17,IF(SUM(J32:M32)&lt;='07_Regras_Complexidade'!$D$6,'07_Regras_Complexidade'!$E$6,IF(SUM(J32:M32)&lt;='07_Regras_Complexidade'!$D$7,'07_Regras_Complexidade'!$E$7,IF(SUM(J32:M32)&lt;='07_Regras_Complexidade'!$D$8,'07_Regras_Complexidade'!$E$8,IF(SUM(J32:M32)&lt;='07_Regras_Complexidade'!$D$9,'07_Regras_Complexidade'!$E$9,'07_Regras_Complexidade'!$E$10)))))))</x:f>
      </x:c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 t="str">
        <x:f>IF(B33="","",IF(OR(C33="Sem movimento",C33="Inativo",C33="Encerrado"),'07_Regras_Complexidade'!$E$5,IF(COUNT(J33:M33)&lt;4,'07_Regras_Complexidade'!$E$17,IF(SUM(J33:M33)&lt;='07_Regras_Complexidade'!$D$6,'07_Regras_Complexidade'!$E$6,IF(SUM(J33:M33)&lt;='07_Regras_Complexidade'!$D$7,'07_Regras_Complexidade'!$E$7,IF(SUM(J33:M33)&lt;='07_Regras_Complexidade'!$D$8,'07_Regras_Complexidade'!$E$8,IF(SUM(J33:M33)&lt;='07_Regras_Complexidade'!$D$9,'07_Regras_Complexidade'!$E$9,'07_Regras_Complexidade'!$E$10)))))))</x:f>
      </x:c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 t="str">
        <x:f>IF(B34="","",IF(OR(C34="Sem movimento",C34="Inativo",C34="Encerrado"),'07_Regras_Complexidade'!$E$5,IF(COUNT(J34:M34)&lt;4,'07_Regras_Complexidade'!$E$17,IF(SUM(J34:M34)&lt;='07_Regras_Complexidade'!$D$6,'07_Regras_Complexidade'!$E$6,IF(SUM(J34:M34)&lt;='07_Regras_Complexidade'!$D$7,'07_Regras_Complexidade'!$E$7,IF(SUM(J34:M34)&lt;='07_Regras_Complexidade'!$D$8,'07_Regras_Complexidade'!$E$8,IF(SUM(J34:M34)&lt;='07_Regras_Complexidade'!$D$9,'07_Regras_Complexidade'!$E$9,'07_Regras_Complexidade'!$E$10)))))))</x:f>
      </x:c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 t="str">
        <x:f>IF(B35="","",IF(OR(C35="Sem movimento",C35="Inativo",C35="Encerrado"),'07_Regras_Complexidade'!$E$5,IF(COUNT(J35:M35)&lt;4,'07_Regras_Complexidade'!$E$17,IF(SUM(J35:M35)&lt;='07_Regras_Complexidade'!$D$6,'07_Regras_Complexidade'!$E$6,IF(SUM(J35:M35)&lt;='07_Regras_Complexidade'!$D$7,'07_Regras_Complexidade'!$E$7,IF(SUM(J35:M35)&lt;='07_Regras_Complexidade'!$D$8,'07_Regras_Complexidade'!$E$8,IF(SUM(J35:M35)&lt;='07_Regras_Complexidade'!$D$9,'07_Regras_Complexidade'!$E$9,'07_Regras_Complexidade'!$E$10)))))))</x:f>
      </x:c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 t="str">
        <x:f>IF(B36="","",IF(OR(C36="Sem movimento",C36="Inativo",C36="Encerrado"),'07_Regras_Complexidade'!$E$5,IF(COUNT(J36:M36)&lt;4,'07_Regras_Complexidade'!$E$17,IF(SUM(J36:M36)&lt;='07_Regras_Complexidade'!$D$6,'07_Regras_Complexidade'!$E$6,IF(SUM(J36:M36)&lt;='07_Regras_Complexidade'!$D$7,'07_Regras_Complexidade'!$E$7,IF(SUM(J36:M36)&lt;='07_Regras_Complexidade'!$D$8,'07_Regras_Complexidade'!$E$8,IF(SUM(J36:M36)&lt;='07_Regras_Complexidade'!$D$9,'07_Regras_Complexidade'!$E$9,'07_Regras_Complexidade'!$E$10)))))))</x:f>
      </x:c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 t="str">
        <x:f>IF(B37="","",IF(OR(C37="Sem movimento",C37="Inativo",C37="Encerrado"),'07_Regras_Complexidade'!$E$5,IF(COUNT(J37:M37)&lt;4,'07_Regras_Complexidade'!$E$17,IF(SUM(J37:M37)&lt;='07_Regras_Complexidade'!$D$6,'07_Regras_Complexidade'!$E$6,IF(SUM(J37:M37)&lt;='07_Regras_Complexidade'!$D$7,'07_Regras_Complexidade'!$E$7,IF(SUM(J37:M37)&lt;='07_Regras_Complexidade'!$D$8,'07_Regras_Complexidade'!$E$8,IF(SUM(J37:M37)&lt;='07_Regras_Complexidade'!$D$9,'07_Regras_Complexidade'!$E$9,'07_Regras_Complexidade'!$E$10)))))))</x:f>
      </x:c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 t="str">
        <x:f>IF(B38="","",IF(OR(C38="Sem movimento",C38="Inativo",C38="Encerrado"),'07_Regras_Complexidade'!$E$5,IF(COUNT(J38:M38)&lt;4,'07_Regras_Complexidade'!$E$17,IF(SUM(J38:M38)&lt;='07_Regras_Complexidade'!$D$6,'07_Regras_Complexidade'!$E$6,IF(SUM(J38:M38)&lt;='07_Regras_Complexidade'!$D$7,'07_Regras_Complexidade'!$E$7,IF(SUM(J38:M38)&lt;='07_Regras_Complexidade'!$D$8,'07_Regras_Complexidade'!$E$8,IF(SUM(J38:M38)&lt;='07_Regras_Complexidade'!$D$9,'07_Regras_Complexidade'!$E$9,'07_Regras_Complexidade'!$E$10)))))))</x:f>
      </x:c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 t="str">
        <x:f>IF(B39="","",IF(OR(C39="Sem movimento",C39="Inativo",C39="Encerrado"),'07_Regras_Complexidade'!$E$5,IF(COUNT(J39:M39)&lt;4,'07_Regras_Complexidade'!$E$17,IF(SUM(J39:M39)&lt;='07_Regras_Complexidade'!$D$6,'07_Regras_Complexidade'!$E$6,IF(SUM(J39:M39)&lt;='07_Regras_Complexidade'!$D$7,'07_Regras_Complexidade'!$E$7,IF(SUM(J39:M39)&lt;='07_Regras_Complexidade'!$D$8,'07_Regras_Complexidade'!$E$8,IF(SUM(J39:M39)&lt;='07_Regras_Complexidade'!$D$9,'07_Regras_Complexidade'!$E$9,'07_Regras_Complexidade'!$E$10)))))))</x:f>
      </x:c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 t="str">
        <x:f>IF(B40="","",IF(OR(C40="Sem movimento",C40="Inativo",C40="Encerrado"),'07_Regras_Complexidade'!$E$5,IF(COUNT(J40:M40)&lt;4,'07_Regras_Complexidade'!$E$17,IF(SUM(J40:M40)&lt;='07_Regras_Complexidade'!$D$6,'07_Regras_Complexidade'!$E$6,IF(SUM(J40:M40)&lt;='07_Regras_Complexidade'!$D$7,'07_Regras_Complexidade'!$E$7,IF(SUM(J40:M40)&lt;='07_Regras_Complexidade'!$D$8,'07_Regras_Complexidade'!$E$8,IF(SUM(J40:M40)&lt;='07_Regras_Complexidade'!$D$9,'07_Regras_Complexidade'!$E$9,'07_Regras_Complexidade'!$E$10)))))))</x:f>
      </x:c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 t="str">
        <x:f>IF(B41="","",IF(OR(C41="Sem movimento",C41="Inativo",C41="Encerrado"),'07_Regras_Complexidade'!$E$5,IF(COUNT(J41:M41)&lt;4,'07_Regras_Complexidade'!$E$17,IF(SUM(J41:M41)&lt;='07_Regras_Complexidade'!$D$6,'07_Regras_Complexidade'!$E$6,IF(SUM(J41:M41)&lt;='07_Regras_Complexidade'!$D$7,'07_Regras_Complexidade'!$E$7,IF(SUM(J41:M41)&lt;='07_Regras_Complexidade'!$D$8,'07_Regras_Complexidade'!$E$8,IF(SUM(J41:M41)&lt;='07_Regras_Complexidade'!$D$9,'07_Regras_Complexidade'!$E$9,'07_Regras_Complexidade'!$E$10)))))))</x:f>
      </x:c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 t="str">
        <x:f>IF(B42="","",IF(OR(C42="Sem movimento",C42="Inativo",C42="Encerrado"),'07_Regras_Complexidade'!$E$5,IF(COUNT(J42:M42)&lt;4,'07_Regras_Complexidade'!$E$17,IF(SUM(J42:M42)&lt;='07_Regras_Complexidade'!$D$6,'07_Regras_Complexidade'!$E$6,IF(SUM(J42:M42)&lt;='07_Regras_Complexidade'!$D$7,'07_Regras_Complexidade'!$E$7,IF(SUM(J42:M42)&lt;='07_Regras_Complexidade'!$D$8,'07_Regras_Complexidade'!$E$8,IF(SUM(J42:M42)&lt;='07_Regras_Complexidade'!$D$9,'07_Regras_Complexidade'!$E$9,'07_Regras_Complexidade'!$E$10)))))))</x:f>
      </x:c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 t="str">
        <x:f>IF(B43="","",IF(OR(C43="Sem movimento",C43="Inativo",C43="Encerrado"),'07_Regras_Complexidade'!$E$5,IF(COUNT(J43:M43)&lt;4,'07_Regras_Complexidade'!$E$17,IF(SUM(J43:M43)&lt;='07_Regras_Complexidade'!$D$6,'07_Regras_Complexidade'!$E$6,IF(SUM(J43:M43)&lt;='07_Regras_Complexidade'!$D$7,'07_Regras_Complexidade'!$E$7,IF(SUM(J43:M43)&lt;='07_Regras_Complexidade'!$D$8,'07_Regras_Complexidade'!$E$8,IF(SUM(J43:M43)&lt;='07_Regras_Complexidade'!$D$9,'07_Regras_Complexidade'!$E$9,'07_Regras_Complexidade'!$E$10)))))))</x:f>
      </x:c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 t="str">
        <x:f>IF(B44="","",IF(OR(C44="Sem movimento",C44="Inativo",C44="Encerrado"),'07_Regras_Complexidade'!$E$5,IF(COUNT(J44:M44)&lt;4,'07_Regras_Complexidade'!$E$17,IF(SUM(J44:M44)&lt;='07_Regras_Complexidade'!$D$6,'07_Regras_Complexidade'!$E$6,IF(SUM(J44:M44)&lt;='07_Regras_Complexidade'!$D$7,'07_Regras_Complexidade'!$E$7,IF(SUM(J44:M44)&lt;='07_Regras_Complexidade'!$D$8,'07_Regras_Complexidade'!$E$8,IF(SUM(J44:M44)&lt;='07_Regras_Complexidade'!$D$9,'07_Regras_Complexidade'!$E$9,'07_Regras_Complexidade'!$E$10)))))))</x:f>
      </x:c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 t="str">
        <x:f>IF(B45="","",IF(OR(C45="Sem movimento",C45="Inativo",C45="Encerrado"),'07_Regras_Complexidade'!$E$5,IF(COUNT(J45:M45)&lt;4,'07_Regras_Complexidade'!$E$17,IF(SUM(J45:M45)&lt;='07_Regras_Complexidade'!$D$6,'07_Regras_Complexidade'!$E$6,IF(SUM(J45:M45)&lt;='07_Regras_Complexidade'!$D$7,'07_Regras_Complexidade'!$E$7,IF(SUM(J45:M45)&lt;='07_Regras_Complexidade'!$D$8,'07_Regras_Complexidade'!$E$8,IF(SUM(J45:M45)&lt;='07_Regras_Complexidade'!$D$9,'07_Regras_Complexidade'!$E$9,'07_Regras_Complexidade'!$E$10)))))))</x:f>
      </x:c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 t="str">
        <x:f>IF(B46="","",IF(OR(C46="Sem movimento",C46="Inativo",C46="Encerrado"),'07_Regras_Complexidade'!$E$5,IF(COUNT(J46:M46)&lt;4,'07_Regras_Complexidade'!$E$17,IF(SUM(J46:M46)&lt;='07_Regras_Complexidade'!$D$6,'07_Regras_Complexidade'!$E$6,IF(SUM(J46:M46)&lt;='07_Regras_Complexidade'!$D$7,'07_Regras_Complexidade'!$E$7,IF(SUM(J46:M46)&lt;='07_Regras_Complexidade'!$D$8,'07_Regras_Complexidade'!$E$8,IF(SUM(J46:M46)&lt;='07_Regras_Complexidade'!$D$9,'07_Regras_Complexidade'!$E$9,'07_Regras_Complexidade'!$E$10)))))))</x:f>
      </x:c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 t="str">
        <x:f>IF(B47="","",IF(OR(C47="Sem movimento",C47="Inativo",C47="Encerrado"),'07_Regras_Complexidade'!$E$5,IF(COUNT(J47:M47)&lt;4,'07_Regras_Complexidade'!$E$17,IF(SUM(J47:M47)&lt;='07_Regras_Complexidade'!$D$6,'07_Regras_Complexidade'!$E$6,IF(SUM(J47:M47)&lt;='07_Regras_Complexidade'!$D$7,'07_Regras_Complexidade'!$E$7,IF(SUM(J47:M47)&lt;='07_Regras_Complexidade'!$D$8,'07_Regras_Complexidade'!$E$8,IF(SUM(J47:M47)&lt;='07_Regras_Complexidade'!$D$9,'07_Regras_Complexidade'!$E$9,'07_Regras_Complexidade'!$E$10)))))))</x:f>
      </x:c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 t="str">
        <x:f>IF(B48="","",IF(OR(C48="Sem movimento",C48="Inativo",C48="Encerrado"),'07_Regras_Complexidade'!$E$5,IF(COUNT(J48:M48)&lt;4,'07_Regras_Complexidade'!$E$17,IF(SUM(J48:M48)&lt;='07_Regras_Complexidade'!$D$6,'07_Regras_Complexidade'!$E$6,IF(SUM(J48:M48)&lt;='07_Regras_Complexidade'!$D$7,'07_Regras_Complexidade'!$E$7,IF(SUM(J48:M48)&lt;='07_Regras_Complexidade'!$D$8,'07_Regras_Complexidade'!$E$8,IF(SUM(J48:M48)&lt;='07_Regras_Complexidade'!$D$9,'07_Regras_Complexidade'!$E$9,'07_Regras_Complexidade'!$E$10)))))))</x:f>
      </x:c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 t="str">
        <x:f>IF(B49="","",IF(OR(C49="Sem movimento",C49="Inativo",C49="Encerrado"),'07_Regras_Complexidade'!$E$5,IF(COUNT(J49:M49)&lt;4,'07_Regras_Complexidade'!$E$17,IF(SUM(J49:M49)&lt;='07_Regras_Complexidade'!$D$6,'07_Regras_Complexidade'!$E$6,IF(SUM(J49:M49)&lt;='07_Regras_Complexidade'!$D$7,'07_Regras_Complexidade'!$E$7,IF(SUM(J49:M49)&lt;='07_Regras_Complexidade'!$D$8,'07_Regras_Complexidade'!$E$8,IF(SUM(J49:M49)&lt;='07_Regras_Complexidade'!$D$9,'07_Regras_Complexidade'!$E$9,'07_Regras_Complexidade'!$E$10)))))))</x:f>
      </x:c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 t="str">
        <x:f>IF(B50="","",IF(OR(C50="Sem movimento",C50="Inativo",C50="Encerrado"),'07_Regras_Complexidade'!$E$5,IF(COUNT(J50:M50)&lt;4,'07_Regras_Complexidade'!$E$17,IF(SUM(J50:M50)&lt;='07_Regras_Complexidade'!$D$6,'07_Regras_Complexidade'!$E$6,IF(SUM(J50:M50)&lt;='07_Regras_Complexidade'!$D$7,'07_Regras_Complexidade'!$E$7,IF(SUM(J50:M50)&lt;='07_Regras_Complexidade'!$D$8,'07_Regras_Complexidade'!$E$8,IF(SUM(J50:M50)&lt;='07_Regras_Complexidade'!$D$9,'07_Regras_Complexidade'!$E$9,'07_Regras_Complexidade'!$E$10)))))))</x:f>
      </x:c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 t="str">
        <x:f>IF(B51="","",IF(OR(C51="Sem movimento",C51="Inativo",C51="Encerrado"),'07_Regras_Complexidade'!$E$5,IF(COUNT(J51:M51)&lt;4,'07_Regras_Complexidade'!$E$17,IF(SUM(J51:M51)&lt;='07_Regras_Complexidade'!$D$6,'07_Regras_Complexidade'!$E$6,IF(SUM(J51:M51)&lt;='07_Regras_Complexidade'!$D$7,'07_Regras_Complexidade'!$E$7,IF(SUM(J51:M51)&lt;='07_Regras_Complexidade'!$D$8,'07_Regras_Complexidade'!$E$8,IF(SUM(J51:M51)&lt;='07_Regras_Complexidade'!$D$9,'07_Regras_Complexidade'!$E$9,'07_Regras_Complexidade'!$E$10)))))))</x:f>
      </x:c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 t="str">
        <x:f>IF(B52="","",IF(OR(C52="Sem movimento",C52="Inativo",C52="Encerrado"),'07_Regras_Complexidade'!$E$5,IF(COUNT(J52:M52)&lt;4,'07_Regras_Complexidade'!$E$17,IF(SUM(J52:M52)&lt;='07_Regras_Complexidade'!$D$6,'07_Regras_Complexidade'!$E$6,IF(SUM(J52:M52)&lt;='07_Regras_Complexidade'!$D$7,'07_Regras_Complexidade'!$E$7,IF(SUM(J52:M52)&lt;='07_Regras_Complexidade'!$D$8,'07_Regras_Complexidade'!$E$8,IF(SUM(J52:M52)&lt;='07_Regras_Complexidade'!$D$9,'07_Regras_Complexidade'!$E$9,'07_Regras_Complexidade'!$E$10)))))))</x:f>
      </x:c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 t="str">
        <x:f>IF(B53="","",IF(OR(C53="Sem movimento",C53="Inativo",C53="Encerrado"),'07_Regras_Complexidade'!$E$5,IF(COUNT(J53:M53)&lt;4,'07_Regras_Complexidade'!$E$17,IF(SUM(J53:M53)&lt;='07_Regras_Complexidade'!$D$6,'07_Regras_Complexidade'!$E$6,IF(SUM(J53:M53)&lt;='07_Regras_Complexidade'!$D$7,'07_Regras_Complexidade'!$E$7,IF(SUM(J53:M53)&lt;='07_Regras_Complexidade'!$D$8,'07_Regras_Complexidade'!$E$8,IF(SUM(J53:M53)&lt;='07_Regras_Complexidade'!$D$9,'07_Regras_Complexidade'!$E$9,'07_Regras_Complexidade'!$E$10)))))))</x:f>
      </x:c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 t="str">
        <x:f>IF(B54="","",IF(OR(C54="Sem movimento",C54="Inativo",C54="Encerrado"),'07_Regras_Complexidade'!$E$5,IF(COUNT(J54:M54)&lt;4,'07_Regras_Complexidade'!$E$17,IF(SUM(J54:M54)&lt;='07_Regras_Complexidade'!$D$6,'07_Regras_Complexidade'!$E$6,IF(SUM(J54:M54)&lt;='07_Regras_Complexidade'!$D$7,'07_Regras_Complexidade'!$E$7,IF(SUM(J54:M54)&lt;='07_Regras_Complexidade'!$D$8,'07_Regras_Complexidade'!$E$8,IF(SUM(J54:M54)&lt;='07_Regras_Complexidade'!$D$9,'07_Regras_Complexidade'!$E$9,'07_Regras_Complexidade'!$E$10)))))))</x:f>
      </x:c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 t="str">
        <x:f>IF(B55="","",IF(OR(C55="Sem movimento",C55="Inativo",C55="Encerrado"),'07_Regras_Complexidade'!$E$5,IF(COUNT(J55:M55)&lt;4,'07_Regras_Complexidade'!$E$17,IF(SUM(J55:M55)&lt;='07_Regras_Complexidade'!$D$6,'07_Regras_Complexidade'!$E$6,IF(SUM(J55:M55)&lt;='07_Regras_Complexidade'!$D$7,'07_Regras_Complexidade'!$E$7,IF(SUM(J55:M55)&lt;='07_Regras_Complexidade'!$D$8,'07_Regras_Complexidade'!$E$8,IF(SUM(J55:M55)&lt;='07_Regras_Complexidade'!$D$9,'07_Regras_Complexidade'!$E$9,'07_Regras_Complexidade'!$E$10)))))))</x:f>
      </x:c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 t="str">
        <x:f>IF(B56="","",IF(OR(C56="Sem movimento",C56="Inativo",C56="Encerrado"),'07_Regras_Complexidade'!$E$5,IF(COUNT(J56:M56)&lt;4,'07_Regras_Complexidade'!$E$17,IF(SUM(J56:M56)&lt;='07_Regras_Complexidade'!$D$6,'07_Regras_Complexidade'!$E$6,IF(SUM(J56:M56)&lt;='07_Regras_Complexidade'!$D$7,'07_Regras_Complexidade'!$E$7,IF(SUM(J56:M56)&lt;='07_Regras_Complexidade'!$D$8,'07_Regras_Complexidade'!$E$8,IF(SUM(J56:M56)&lt;='07_Regras_Complexidade'!$D$9,'07_Regras_Complexidade'!$E$9,'07_Regras_Complexidade'!$E$10)))))))</x:f>
      </x:c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 t="str">
        <x:f>IF(B57="","",IF(OR(C57="Sem movimento",C57="Inativo",C57="Encerrado"),'07_Regras_Complexidade'!$E$5,IF(COUNT(J57:M57)&lt;4,'07_Regras_Complexidade'!$E$17,IF(SUM(J57:M57)&lt;='07_Regras_Complexidade'!$D$6,'07_Regras_Complexidade'!$E$6,IF(SUM(J57:M57)&lt;='07_Regras_Complexidade'!$D$7,'07_Regras_Complexidade'!$E$7,IF(SUM(J57:M57)&lt;='07_Regras_Complexidade'!$D$8,'07_Regras_Complexidade'!$E$8,IF(SUM(J57:M57)&lt;='07_Regras_Complexidade'!$D$9,'07_Regras_Complexidade'!$E$9,'07_Regras_Complexidade'!$E$10)))))))</x:f>
      </x:c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 t="str">
        <x:f>IF(B58="","",IF(OR(C58="Sem movimento",C58="Inativo",C58="Encerrado"),'07_Regras_Complexidade'!$E$5,IF(COUNT(J58:M58)&lt;4,'07_Regras_Complexidade'!$E$17,IF(SUM(J58:M58)&lt;='07_Regras_Complexidade'!$D$6,'07_Regras_Complexidade'!$E$6,IF(SUM(J58:M58)&lt;='07_Regras_Complexidade'!$D$7,'07_Regras_Complexidade'!$E$7,IF(SUM(J58:M58)&lt;='07_Regras_Complexidade'!$D$8,'07_Regras_Complexidade'!$E$8,IF(SUM(J58:M58)&lt;='07_Regras_Complexidade'!$D$9,'07_Regras_Complexidade'!$E$9,'07_Regras_Complexidade'!$E$10)))))))</x:f>
      </x:c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 t="str">
        <x:f>IF(B59="","",IF(OR(C59="Sem movimento",C59="Inativo",C59="Encerrado"),'07_Regras_Complexidade'!$E$5,IF(COUNT(J59:M59)&lt;4,'07_Regras_Complexidade'!$E$17,IF(SUM(J59:M59)&lt;='07_Regras_Complexidade'!$D$6,'07_Regras_Complexidade'!$E$6,IF(SUM(J59:M59)&lt;='07_Regras_Complexidade'!$D$7,'07_Regras_Complexidade'!$E$7,IF(SUM(J59:M59)&lt;='07_Regras_Complexidade'!$D$8,'07_Regras_Complexidade'!$E$8,IF(SUM(J59:M59)&lt;='07_Regras_Complexidade'!$D$9,'07_Regras_Complexidade'!$E$9,'07_Regras_Complexidade'!$E$10)))))))</x:f>
      </x:c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 t="str">
        <x:f>IF(B60="","",IF(OR(C60="Sem movimento",C60="Inativo",C60="Encerrado"),'07_Regras_Complexidade'!$E$5,IF(COUNT(J60:M60)&lt;4,'07_Regras_Complexidade'!$E$17,IF(SUM(J60:M60)&lt;='07_Regras_Complexidade'!$D$6,'07_Regras_Complexidade'!$E$6,IF(SUM(J60:M60)&lt;='07_Regras_Complexidade'!$D$7,'07_Regras_Complexidade'!$E$7,IF(SUM(J60:M60)&lt;='07_Regras_Complexidade'!$D$8,'07_Regras_Complexidade'!$E$8,IF(SUM(J60:M60)&lt;='07_Regras_Complexidade'!$D$9,'07_Regras_Complexidade'!$E$9,'07_Regras_Complexidade'!$E$10)))))))</x:f>
      </x:c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 t="str">
        <x:f>IF(B61="","",IF(OR(C61="Sem movimento",C61="Inativo",C61="Encerrado"),'07_Regras_Complexidade'!$E$5,IF(COUNT(J61:M61)&lt;4,'07_Regras_Complexidade'!$E$17,IF(SUM(J61:M61)&lt;='07_Regras_Complexidade'!$D$6,'07_Regras_Complexidade'!$E$6,IF(SUM(J61:M61)&lt;='07_Regras_Complexidade'!$D$7,'07_Regras_Complexidade'!$E$7,IF(SUM(J61:M61)&lt;='07_Regras_Complexidade'!$D$8,'07_Regras_Complexidade'!$E$8,IF(SUM(J61:M61)&lt;='07_Regras_Complexidade'!$D$9,'07_Regras_Complexidade'!$E$9,'07_Regras_Complexidade'!$E$10)))))))</x:f>
      </x:c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 t="str">
        <x:f>IF(B62="","",IF(OR(C62="Sem movimento",C62="Inativo",C62="Encerrado"),'07_Regras_Complexidade'!$E$5,IF(COUNT(J62:M62)&lt;4,'07_Regras_Complexidade'!$E$17,IF(SUM(J62:M62)&lt;='07_Regras_Complexidade'!$D$6,'07_Regras_Complexidade'!$E$6,IF(SUM(J62:M62)&lt;='07_Regras_Complexidade'!$D$7,'07_Regras_Complexidade'!$E$7,IF(SUM(J62:M62)&lt;='07_Regras_Complexidade'!$D$8,'07_Regras_Complexidade'!$E$8,IF(SUM(J62:M62)&lt;='07_Regras_Complexidade'!$D$9,'07_Regras_Complexidade'!$E$9,'07_Regras_Complexidade'!$E$10)))))))</x:f>
      </x:c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 t="str">
        <x:f>IF(B63="","",IF(OR(C63="Sem movimento",C63="Inativo",C63="Encerrado"),'07_Regras_Complexidade'!$E$5,IF(COUNT(J63:M63)&lt;4,'07_Regras_Complexidade'!$E$17,IF(SUM(J63:M63)&lt;='07_Regras_Complexidade'!$D$6,'07_Regras_Complexidade'!$E$6,IF(SUM(J63:M63)&lt;='07_Regras_Complexidade'!$D$7,'07_Regras_Complexidade'!$E$7,IF(SUM(J63:M63)&lt;='07_Regras_Complexidade'!$D$8,'07_Regras_Complexidade'!$E$8,IF(SUM(J63:M63)&lt;='07_Regras_Complexidade'!$D$9,'07_Regras_Complexidade'!$E$9,'07_Regras_Complexidade'!$E$10)))))))</x:f>
      </x:c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 t="str">
        <x:f>IF(B64="","",IF(OR(C64="Sem movimento",C64="Inativo",C64="Encerrado"),'07_Regras_Complexidade'!$E$5,IF(COUNT(J64:M64)&lt;4,'07_Regras_Complexidade'!$E$17,IF(SUM(J64:M64)&lt;='07_Regras_Complexidade'!$D$6,'07_Regras_Complexidade'!$E$6,IF(SUM(J64:M64)&lt;='07_Regras_Complexidade'!$D$7,'07_Regras_Complexidade'!$E$7,IF(SUM(J64:M64)&lt;='07_Regras_Complexidade'!$D$8,'07_Regras_Complexidade'!$E$8,IF(SUM(J64:M64)&lt;='07_Regras_Complexidade'!$D$9,'07_Regras_Complexidade'!$E$9,'07_Regras_Complexidade'!$E$10)))))))</x:f>
      </x:c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 t="str">
        <x:f>IF(B65="","",IF(OR(C65="Sem movimento",C65="Inativo",C65="Encerrado"),'07_Regras_Complexidade'!$E$5,IF(COUNT(J65:M65)&lt;4,'07_Regras_Complexidade'!$E$17,IF(SUM(J65:M65)&lt;='07_Regras_Complexidade'!$D$6,'07_Regras_Complexidade'!$E$6,IF(SUM(J65:M65)&lt;='07_Regras_Complexidade'!$D$7,'07_Regras_Complexidade'!$E$7,IF(SUM(J65:M65)&lt;='07_Regras_Complexidade'!$D$8,'07_Regras_Complexidade'!$E$8,IF(SUM(J65:M65)&lt;='07_Regras_Complexidade'!$D$9,'07_Regras_Complexidade'!$E$9,'07_Regras_Complexidade'!$E$10)))))))</x:f>
      </x:c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 t="str">
        <x:f>IF(B66="","",IF(OR(C66="Sem movimento",C66="Inativo",C66="Encerrado"),'07_Regras_Complexidade'!$E$5,IF(COUNT(J66:M66)&lt;4,'07_Regras_Complexidade'!$E$17,IF(SUM(J66:M66)&lt;='07_Regras_Complexidade'!$D$6,'07_Regras_Complexidade'!$E$6,IF(SUM(J66:M66)&lt;='07_Regras_Complexidade'!$D$7,'07_Regras_Complexidade'!$E$7,IF(SUM(J66:M66)&lt;='07_Regras_Complexidade'!$D$8,'07_Regras_Complexidade'!$E$8,IF(SUM(J66:M66)&lt;='07_Regras_Complexidade'!$D$9,'07_Regras_Complexidade'!$E$9,'07_Regras_Complexidade'!$E$10)))))))</x:f>
      </x:c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 t="str">
        <x:f>IF(B67="","",IF(OR(C67="Sem movimento",C67="Inativo",C67="Encerrado"),'07_Regras_Complexidade'!$E$5,IF(COUNT(J67:M67)&lt;4,'07_Regras_Complexidade'!$E$17,IF(SUM(J67:M67)&lt;='07_Regras_Complexidade'!$D$6,'07_Regras_Complexidade'!$E$6,IF(SUM(J67:M67)&lt;='07_Regras_Complexidade'!$D$7,'07_Regras_Complexidade'!$E$7,IF(SUM(J67:M67)&lt;='07_Regras_Complexidade'!$D$8,'07_Regras_Complexidade'!$E$8,IF(SUM(J67:M67)&lt;='07_Regras_Complexidade'!$D$9,'07_Regras_Complexidade'!$E$9,'07_Regras_Complexidade'!$E$10)))))))</x:f>
      </x:c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 t="str">
        <x:f>IF(B68="","",IF(OR(C68="Sem movimento",C68="Inativo",C68="Encerrado"),'07_Regras_Complexidade'!$E$5,IF(COUNT(J68:M68)&lt;4,'07_Regras_Complexidade'!$E$17,IF(SUM(J68:M68)&lt;='07_Regras_Complexidade'!$D$6,'07_Regras_Complexidade'!$E$6,IF(SUM(J68:M68)&lt;='07_Regras_Complexidade'!$D$7,'07_Regras_Complexidade'!$E$7,IF(SUM(J68:M68)&lt;='07_Regras_Complexidade'!$D$8,'07_Regras_Complexidade'!$E$8,IF(SUM(J68:M68)&lt;='07_Regras_Complexidade'!$D$9,'07_Regras_Complexidade'!$E$9,'07_Regras_Complexidade'!$E$10)))))))</x:f>
      </x:c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 t="str">
        <x:f>IF(B69="","",IF(OR(C69="Sem movimento",C69="Inativo",C69="Encerrado"),'07_Regras_Complexidade'!$E$5,IF(COUNT(J69:M69)&lt;4,'07_Regras_Complexidade'!$E$17,IF(SUM(J69:M69)&lt;='07_Regras_Complexidade'!$D$6,'07_Regras_Complexidade'!$E$6,IF(SUM(J69:M69)&lt;='07_Regras_Complexidade'!$D$7,'07_Regras_Complexidade'!$E$7,IF(SUM(J69:M69)&lt;='07_Regras_Complexidade'!$D$8,'07_Regras_Complexidade'!$E$8,IF(SUM(J69:M69)&lt;='07_Regras_Complexidade'!$D$9,'07_Regras_Complexidade'!$E$9,'07_Regras_Complexidade'!$E$10)))))))</x:f>
      </x:c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 t="str">
        <x:f>IF(B70="","",IF(OR(C70="Sem movimento",C70="Inativo",C70="Encerrado"),'07_Regras_Complexidade'!$E$5,IF(COUNT(J70:M70)&lt;4,'07_Regras_Complexidade'!$E$17,IF(SUM(J70:M70)&lt;='07_Regras_Complexidade'!$D$6,'07_Regras_Complexidade'!$E$6,IF(SUM(J70:M70)&lt;='07_Regras_Complexidade'!$D$7,'07_Regras_Complexidade'!$E$7,IF(SUM(J70:M70)&lt;='07_Regras_Complexidade'!$D$8,'07_Regras_Complexidade'!$E$8,IF(SUM(J70:M70)&lt;='07_Regras_Complexidade'!$D$9,'07_Regras_Complexidade'!$E$9,'07_Regras_Complexidade'!$E$10)))))))</x:f>
      </x:c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 t="str">
        <x:f>IF(B71="","",IF(OR(C71="Sem movimento",C71="Inativo",C71="Encerrado"),'07_Regras_Complexidade'!$E$5,IF(COUNT(J71:M71)&lt;4,'07_Regras_Complexidade'!$E$17,IF(SUM(J71:M71)&lt;='07_Regras_Complexidade'!$D$6,'07_Regras_Complexidade'!$E$6,IF(SUM(J71:M71)&lt;='07_Regras_Complexidade'!$D$7,'07_Regras_Complexidade'!$E$7,IF(SUM(J71:M71)&lt;='07_Regras_Complexidade'!$D$8,'07_Regras_Complexidade'!$E$8,IF(SUM(J71:M71)&lt;='07_Regras_Complexidade'!$D$9,'07_Regras_Complexidade'!$E$9,'07_Regras_Complexidade'!$E$10)))))))</x:f>
      </x:c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 t="str">
        <x:f>IF(B72="","",IF(OR(C72="Sem movimento",C72="Inativo",C72="Encerrado"),'07_Regras_Complexidade'!$E$5,IF(COUNT(J72:M72)&lt;4,'07_Regras_Complexidade'!$E$17,IF(SUM(J72:M72)&lt;='07_Regras_Complexidade'!$D$6,'07_Regras_Complexidade'!$E$6,IF(SUM(J72:M72)&lt;='07_Regras_Complexidade'!$D$7,'07_Regras_Complexidade'!$E$7,IF(SUM(J72:M72)&lt;='07_Regras_Complexidade'!$D$8,'07_Regras_Complexidade'!$E$8,IF(SUM(J72:M72)&lt;='07_Regras_Complexidade'!$D$9,'07_Regras_Complexidade'!$E$9,'07_Regras_Complexidade'!$E$10)))))))</x:f>
      </x:c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 t="str">
        <x:f>IF(B73="","",IF(OR(C73="Sem movimento",C73="Inativo",C73="Encerrado"),'07_Regras_Complexidade'!$E$5,IF(COUNT(J73:M73)&lt;4,'07_Regras_Complexidade'!$E$17,IF(SUM(J73:M73)&lt;='07_Regras_Complexidade'!$D$6,'07_Regras_Complexidade'!$E$6,IF(SUM(J73:M73)&lt;='07_Regras_Complexidade'!$D$7,'07_Regras_Complexidade'!$E$7,IF(SUM(J73:M73)&lt;='07_Regras_Complexidade'!$D$8,'07_Regras_Complexidade'!$E$8,IF(SUM(J73:M73)&lt;='07_Regras_Complexidade'!$D$9,'07_Regras_Complexidade'!$E$9,'07_Regras_Complexidade'!$E$10)))))))</x:f>
      </x:c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 t="str">
        <x:f>IF(B74="","",IF(OR(C74="Sem movimento",C74="Inativo",C74="Encerrado"),'07_Regras_Complexidade'!$E$5,IF(COUNT(J74:M74)&lt;4,'07_Regras_Complexidade'!$E$17,IF(SUM(J74:M74)&lt;='07_Regras_Complexidade'!$D$6,'07_Regras_Complexidade'!$E$6,IF(SUM(J74:M74)&lt;='07_Regras_Complexidade'!$D$7,'07_Regras_Complexidade'!$E$7,IF(SUM(J74:M74)&lt;='07_Regras_Complexidade'!$D$8,'07_Regras_Complexidade'!$E$8,IF(SUM(J74:M74)&lt;='07_Regras_Complexidade'!$D$9,'07_Regras_Complexidade'!$E$9,'07_Regras_Complexidade'!$E$10)))))))</x:f>
      </x:c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 t="str">
        <x:f>IF(B75="","",IF(OR(C75="Sem movimento",C75="Inativo",C75="Encerrado"),'07_Regras_Complexidade'!$E$5,IF(COUNT(J75:M75)&lt;4,'07_Regras_Complexidade'!$E$17,IF(SUM(J75:M75)&lt;='07_Regras_Complexidade'!$D$6,'07_Regras_Complexidade'!$E$6,IF(SUM(J75:M75)&lt;='07_Regras_Complexidade'!$D$7,'07_Regras_Complexidade'!$E$7,IF(SUM(J75:M75)&lt;='07_Regras_Complexidade'!$D$8,'07_Regras_Complexidade'!$E$8,IF(SUM(J75:M75)&lt;='07_Regras_Complexidade'!$D$9,'07_Regras_Complexidade'!$E$9,'07_Regras_Complexidade'!$E$10)))))))</x:f>
      </x:c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 t="str">
        <x:f>IF(B76="","",IF(OR(C76="Sem movimento",C76="Inativo",C76="Encerrado"),'07_Regras_Complexidade'!$E$5,IF(COUNT(J76:M76)&lt;4,'07_Regras_Complexidade'!$E$17,IF(SUM(J76:M76)&lt;='07_Regras_Complexidade'!$D$6,'07_Regras_Complexidade'!$E$6,IF(SUM(J76:M76)&lt;='07_Regras_Complexidade'!$D$7,'07_Regras_Complexidade'!$E$7,IF(SUM(J76:M76)&lt;='07_Regras_Complexidade'!$D$8,'07_Regras_Complexidade'!$E$8,IF(SUM(J76:M76)&lt;='07_Regras_Complexidade'!$D$9,'07_Regras_Complexidade'!$E$9,'07_Regras_Complexidade'!$E$10)))))))</x:f>
      </x:c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 t="str">
        <x:f>IF(B77="","",IF(OR(C77="Sem movimento",C77="Inativo",C77="Encerrado"),'07_Regras_Complexidade'!$E$5,IF(COUNT(J77:M77)&lt;4,'07_Regras_Complexidade'!$E$17,IF(SUM(J77:M77)&lt;='07_Regras_Complexidade'!$D$6,'07_Regras_Complexidade'!$E$6,IF(SUM(J77:M77)&lt;='07_Regras_Complexidade'!$D$7,'07_Regras_Complexidade'!$E$7,IF(SUM(J77:M77)&lt;='07_Regras_Complexidade'!$D$8,'07_Regras_Complexidade'!$E$8,IF(SUM(J77:M77)&lt;='07_Regras_Complexidade'!$D$9,'07_Regras_Complexidade'!$E$9,'07_Regras_Complexidade'!$E$10)))))))</x:f>
      </x:c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 t="str">
        <x:f>IF(B78="","",IF(OR(C78="Sem movimento",C78="Inativo",C78="Encerrado"),'07_Regras_Complexidade'!$E$5,IF(COUNT(J78:M78)&lt;4,'07_Regras_Complexidade'!$E$17,IF(SUM(J78:M78)&lt;='07_Regras_Complexidade'!$D$6,'07_Regras_Complexidade'!$E$6,IF(SUM(J78:M78)&lt;='07_Regras_Complexidade'!$D$7,'07_Regras_Complexidade'!$E$7,IF(SUM(J78:M78)&lt;='07_Regras_Complexidade'!$D$8,'07_Regras_Complexidade'!$E$8,IF(SUM(J78:M78)&lt;='07_Regras_Complexidade'!$D$9,'07_Regras_Complexidade'!$E$9,'07_Regras_Complexidade'!$E$10)))))))</x:f>
      </x:c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 t="str">
        <x:f>IF(B79="","",IF(OR(C79="Sem movimento",C79="Inativo",C79="Encerrado"),'07_Regras_Complexidade'!$E$5,IF(COUNT(J79:M79)&lt;4,'07_Regras_Complexidade'!$E$17,IF(SUM(J79:M79)&lt;='07_Regras_Complexidade'!$D$6,'07_Regras_Complexidade'!$E$6,IF(SUM(J79:M79)&lt;='07_Regras_Complexidade'!$D$7,'07_Regras_Complexidade'!$E$7,IF(SUM(J79:M79)&lt;='07_Regras_Complexidade'!$D$8,'07_Regras_Complexidade'!$E$8,IF(SUM(J79:M79)&lt;='07_Regras_Complexidade'!$D$9,'07_Regras_Complexidade'!$E$9,'07_Regras_Complexidade'!$E$10)))))))</x:f>
      </x:c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 t="str">
        <x:f>IF(B80="","",IF(OR(C80="Sem movimento",C80="Inativo",C80="Encerrado"),'07_Regras_Complexidade'!$E$5,IF(COUNT(J80:M80)&lt;4,'07_Regras_Complexidade'!$E$17,IF(SUM(J80:M80)&lt;='07_Regras_Complexidade'!$D$6,'07_Regras_Complexidade'!$E$6,IF(SUM(J80:M80)&lt;='07_Regras_Complexidade'!$D$7,'07_Regras_Complexidade'!$E$7,IF(SUM(J80:M80)&lt;='07_Regras_Complexidade'!$D$8,'07_Regras_Complexidade'!$E$8,IF(SUM(J80:M80)&lt;='07_Regras_Complexidade'!$D$9,'07_Regras_Complexidade'!$E$9,'07_Regras_Complexidade'!$E$10)))))))</x:f>
      </x:c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 t="str">
        <x:f>IF(B81="","",IF(OR(C81="Sem movimento",C81="Inativo",C81="Encerrado"),'07_Regras_Complexidade'!$E$5,IF(COUNT(J81:M81)&lt;4,'07_Regras_Complexidade'!$E$17,IF(SUM(J81:M81)&lt;='07_Regras_Complexidade'!$D$6,'07_Regras_Complexidade'!$E$6,IF(SUM(J81:M81)&lt;='07_Regras_Complexidade'!$D$7,'07_Regras_Complexidade'!$E$7,IF(SUM(J81:M81)&lt;='07_Regras_Complexidade'!$D$8,'07_Regras_Complexidade'!$E$8,IF(SUM(J81:M81)&lt;='07_Regras_Complexidade'!$D$9,'07_Regras_Complexidade'!$E$9,'07_Regras_Complexidade'!$E$10)))))))</x:f>
      </x:c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 t="str">
        <x:f>IF(B82="","",IF(OR(C82="Sem movimento",C82="Inativo",C82="Encerrado"),'07_Regras_Complexidade'!$E$5,IF(COUNT(J82:M82)&lt;4,'07_Regras_Complexidade'!$E$17,IF(SUM(J82:M82)&lt;='07_Regras_Complexidade'!$D$6,'07_Regras_Complexidade'!$E$6,IF(SUM(J82:M82)&lt;='07_Regras_Complexidade'!$D$7,'07_Regras_Complexidade'!$E$7,IF(SUM(J82:M82)&lt;='07_Regras_Complexidade'!$D$8,'07_Regras_Complexidade'!$E$8,IF(SUM(J82:M82)&lt;='07_Regras_Complexidade'!$D$9,'07_Regras_Complexidade'!$E$9,'07_Regras_Complexidade'!$E$10)))))))</x:f>
      </x:c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 t="str">
        <x:f>IF(B83="","",IF(OR(C83="Sem movimento",C83="Inativo",C83="Encerrado"),'07_Regras_Complexidade'!$E$5,IF(COUNT(J83:M83)&lt;4,'07_Regras_Complexidade'!$E$17,IF(SUM(J83:M83)&lt;='07_Regras_Complexidade'!$D$6,'07_Regras_Complexidade'!$E$6,IF(SUM(J83:M83)&lt;='07_Regras_Complexidade'!$D$7,'07_Regras_Complexidade'!$E$7,IF(SUM(J83:M83)&lt;='07_Regras_Complexidade'!$D$8,'07_Regras_Complexidade'!$E$8,IF(SUM(J83:M83)&lt;='07_Regras_Complexidade'!$D$9,'07_Regras_Complexidade'!$E$9,'07_Regras_Complexidade'!$E$10)))))))</x:f>
      </x:c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 t="str">
        <x:f>IF(B84="","",IF(OR(C84="Sem movimento",C84="Inativo",C84="Encerrado"),'07_Regras_Complexidade'!$E$5,IF(COUNT(J84:M84)&lt;4,'07_Regras_Complexidade'!$E$17,IF(SUM(J84:M84)&lt;='07_Regras_Complexidade'!$D$6,'07_Regras_Complexidade'!$E$6,IF(SUM(J84:M84)&lt;='07_Regras_Complexidade'!$D$7,'07_Regras_Complexidade'!$E$7,IF(SUM(J84:M84)&lt;='07_Regras_Complexidade'!$D$8,'07_Regras_Complexidade'!$E$8,IF(SUM(J84:M84)&lt;='07_Regras_Complexidade'!$D$9,'07_Regras_Complexidade'!$E$9,'07_Regras_Complexidade'!$E$10)))))))</x:f>
      </x:c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 t="str">
        <x:f>IF(B85="","",IF(OR(C85="Sem movimento",C85="Inativo",C85="Encerrado"),'07_Regras_Complexidade'!$E$5,IF(COUNT(J85:M85)&lt;4,'07_Regras_Complexidade'!$E$17,IF(SUM(J85:M85)&lt;='07_Regras_Complexidade'!$D$6,'07_Regras_Complexidade'!$E$6,IF(SUM(J85:M85)&lt;='07_Regras_Complexidade'!$D$7,'07_Regras_Complexidade'!$E$7,IF(SUM(J85:M85)&lt;='07_Regras_Complexidade'!$D$8,'07_Regras_Complexidade'!$E$8,IF(SUM(J85:M85)&lt;='07_Regras_Complexidade'!$D$9,'07_Regras_Complexidade'!$E$9,'07_Regras_Complexidade'!$E$10)))))))</x:f>
      </x:c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 t="str">
        <x:f>IF(B86="","",IF(OR(C86="Sem movimento",C86="Inativo",C86="Encerrado"),'07_Regras_Complexidade'!$E$5,IF(COUNT(J86:M86)&lt;4,'07_Regras_Complexidade'!$E$17,IF(SUM(J86:M86)&lt;='07_Regras_Complexidade'!$D$6,'07_Regras_Complexidade'!$E$6,IF(SUM(J86:M86)&lt;='07_Regras_Complexidade'!$D$7,'07_Regras_Complexidade'!$E$7,IF(SUM(J86:M86)&lt;='07_Regras_Complexidade'!$D$8,'07_Regras_Complexidade'!$E$8,IF(SUM(J86:M86)&lt;='07_Regras_Complexidade'!$D$9,'07_Regras_Complexidade'!$E$9,'07_Regras_Complexidade'!$E$10)))))))</x:f>
      </x:c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 t="str">
        <x:f>IF(B87="","",IF(OR(C87="Sem movimento",C87="Inativo",C87="Encerrado"),'07_Regras_Complexidade'!$E$5,IF(COUNT(J87:M87)&lt;4,'07_Regras_Complexidade'!$E$17,IF(SUM(J87:M87)&lt;='07_Regras_Complexidade'!$D$6,'07_Regras_Complexidade'!$E$6,IF(SUM(J87:M87)&lt;='07_Regras_Complexidade'!$D$7,'07_Regras_Complexidade'!$E$7,IF(SUM(J87:M87)&lt;='07_Regras_Complexidade'!$D$8,'07_Regras_Complexidade'!$E$8,IF(SUM(J87:M87)&lt;='07_Regras_Complexidade'!$D$9,'07_Regras_Complexidade'!$E$9,'07_Regras_Complexidade'!$E$10)))))))</x:f>
      </x:c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 t="str">
        <x:f>IF(B88="","",IF(OR(C88="Sem movimento",C88="Inativo",C88="Encerrado"),'07_Regras_Complexidade'!$E$5,IF(COUNT(J88:M88)&lt;4,'07_Regras_Complexidade'!$E$17,IF(SUM(J88:M88)&lt;='07_Regras_Complexidade'!$D$6,'07_Regras_Complexidade'!$E$6,IF(SUM(J88:M88)&lt;='07_Regras_Complexidade'!$D$7,'07_Regras_Complexidade'!$E$7,IF(SUM(J88:M88)&lt;='07_Regras_Complexidade'!$D$8,'07_Regras_Complexidade'!$E$8,IF(SUM(J88:M88)&lt;='07_Regras_Complexidade'!$D$9,'07_Regras_Complexidade'!$E$9,'07_Regras_Complexidade'!$E$10)))))))</x:f>
      </x:c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 t="str">
        <x:f>IF(B89="","",IF(OR(C89="Sem movimento",C89="Inativo",C89="Encerrado"),'07_Regras_Complexidade'!$E$5,IF(COUNT(J89:M89)&lt;4,'07_Regras_Complexidade'!$E$17,IF(SUM(J89:M89)&lt;='07_Regras_Complexidade'!$D$6,'07_Regras_Complexidade'!$E$6,IF(SUM(J89:M89)&lt;='07_Regras_Complexidade'!$D$7,'07_Regras_Complexidade'!$E$7,IF(SUM(J89:M89)&lt;='07_Regras_Complexidade'!$D$8,'07_Regras_Complexidade'!$E$8,IF(SUM(J89:M89)&lt;='07_Regras_Complexidade'!$D$9,'07_Regras_Complexidade'!$E$9,'07_Regras_Complexidade'!$E$10)))))))</x:f>
      </x:c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 t="str">
        <x:f>IF(B90="","",IF(OR(C90="Sem movimento",C90="Inativo",C90="Encerrado"),'07_Regras_Complexidade'!$E$5,IF(COUNT(J90:M90)&lt;4,'07_Regras_Complexidade'!$E$17,IF(SUM(J90:M90)&lt;='07_Regras_Complexidade'!$D$6,'07_Regras_Complexidade'!$E$6,IF(SUM(J90:M90)&lt;='07_Regras_Complexidade'!$D$7,'07_Regras_Complexidade'!$E$7,IF(SUM(J90:M90)&lt;='07_Regras_Complexidade'!$D$8,'07_Regras_Complexidade'!$E$8,IF(SUM(J90:M90)&lt;='07_Regras_Complexidade'!$D$9,'07_Regras_Complexidade'!$E$9,'07_Regras_Complexidade'!$E$10)))))))</x:f>
      </x:c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 t="str">
        <x:f>IF(B91="","",IF(OR(C91="Sem movimento",C91="Inativo",C91="Encerrado"),'07_Regras_Complexidade'!$E$5,IF(COUNT(J91:M91)&lt;4,'07_Regras_Complexidade'!$E$17,IF(SUM(J91:M91)&lt;='07_Regras_Complexidade'!$D$6,'07_Regras_Complexidade'!$E$6,IF(SUM(J91:M91)&lt;='07_Regras_Complexidade'!$D$7,'07_Regras_Complexidade'!$E$7,IF(SUM(J91:M91)&lt;='07_Regras_Complexidade'!$D$8,'07_Regras_Complexidade'!$E$8,IF(SUM(J91:M91)&lt;='07_Regras_Complexidade'!$D$9,'07_Regras_Complexidade'!$E$9,'07_Regras_Complexidade'!$E$10)))))))</x:f>
      </x:c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 t="str">
        <x:f>IF(B92="","",IF(OR(C92="Sem movimento",C92="Inativo",C92="Encerrado"),'07_Regras_Complexidade'!$E$5,IF(COUNT(J92:M92)&lt;4,'07_Regras_Complexidade'!$E$17,IF(SUM(J92:M92)&lt;='07_Regras_Complexidade'!$D$6,'07_Regras_Complexidade'!$E$6,IF(SUM(J92:M92)&lt;='07_Regras_Complexidade'!$D$7,'07_Regras_Complexidade'!$E$7,IF(SUM(J92:M92)&lt;='07_Regras_Complexidade'!$D$8,'07_Regras_Complexidade'!$E$8,IF(SUM(J92:M92)&lt;='07_Regras_Complexidade'!$D$9,'07_Regras_Complexidade'!$E$9,'07_Regras_Complexidade'!$E$10)))))))</x:f>
      </x:c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 t="str">
        <x:f>IF(B93="","",IF(OR(C93="Sem movimento",C93="Inativo",C93="Encerrado"),'07_Regras_Complexidade'!$E$5,IF(COUNT(J93:M93)&lt;4,'07_Regras_Complexidade'!$E$17,IF(SUM(J93:M93)&lt;='07_Regras_Complexidade'!$D$6,'07_Regras_Complexidade'!$E$6,IF(SUM(J93:M93)&lt;='07_Regras_Complexidade'!$D$7,'07_Regras_Complexidade'!$E$7,IF(SUM(J93:M93)&lt;='07_Regras_Complexidade'!$D$8,'07_Regras_Complexidade'!$E$8,IF(SUM(J93:M93)&lt;='07_Regras_Complexidade'!$D$9,'07_Regras_Complexidade'!$E$9,'07_Regras_Complexidade'!$E$10)))))))</x:f>
      </x:c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 t="str">
        <x:f>IF(B94="","",IF(OR(C94="Sem movimento",C94="Inativo",C94="Encerrado"),'07_Regras_Complexidade'!$E$5,IF(COUNT(J94:M94)&lt;4,'07_Regras_Complexidade'!$E$17,IF(SUM(J94:M94)&lt;='07_Regras_Complexidade'!$D$6,'07_Regras_Complexidade'!$E$6,IF(SUM(J94:M94)&lt;='07_Regras_Complexidade'!$D$7,'07_Regras_Complexidade'!$E$7,IF(SUM(J94:M94)&lt;='07_Regras_Complexidade'!$D$8,'07_Regras_Complexidade'!$E$8,IF(SUM(J94:M94)&lt;='07_Regras_Complexidade'!$D$9,'07_Regras_Complexidade'!$E$9,'07_Regras_Complexidade'!$E$10)))))))</x:f>
      </x:c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 t="str">
        <x:f>IF(B95="","",IF(OR(C95="Sem movimento",C95="Inativo",C95="Encerrado"),'07_Regras_Complexidade'!$E$5,IF(COUNT(J95:M95)&lt;4,'07_Regras_Complexidade'!$E$17,IF(SUM(J95:M95)&lt;='07_Regras_Complexidade'!$D$6,'07_Regras_Complexidade'!$E$6,IF(SUM(J95:M95)&lt;='07_Regras_Complexidade'!$D$7,'07_Regras_Complexidade'!$E$7,IF(SUM(J95:M95)&lt;='07_Regras_Complexidade'!$D$8,'07_Regras_Complexidade'!$E$8,IF(SUM(J95:M95)&lt;='07_Regras_Complexidade'!$D$9,'07_Regras_Complexidade'!$E$9,'07_Regras_Complexidade'!$E$10)))))))</x:f>
      </x:c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 t="str">
        <x:f>IF(B96="","",IF(OR(C96="Sem movimento",C96="Inativo",C96="Encerrado"),'07_Regras_Complexidade'!$E$5,IF(COUNT(J96:M96)&lt;4,'07_Regras_Complexidade'!$E$17,IF(SUM(J96:M96)&lt;='07_Regras_Complexidade'!$D$6,'07_Regras_Complexidade'!$E$6,IF(SUM(J96:M96)&lt;='07_Regras_Complexidade'!$D$7,'07_Regras_Complexidade'!$E$7,IF(SUM(J96:M96)&lt;='07_Regras_Complexidade'!$D$8,'07_Regras_Complexidade'!$E$8,IF(SUM(J96:M96)&lt;='07_Regras_Complexidade'!$D$9,'07_Regras_Complexidade'!$E$9,'07_Regras_Complexidade'!$E$10)))))))</x:f>
      </x:c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 t="str">
        <x:f>IF(B97="","",IF(OR(C97="Sem movimento",C97="Inativo",C97="Encerrado"),'07_Regras_Complexidade'!$E$5,IF(COUNT(J97:M97)&lt;4,'07_Regras_Complexidade'!$E$17,IF(SUM(J97:M97)&lt;='07_Regras_Complexidade'!$D$6,'07_Regras_Complexidade'!$E$6,IF(SUM(J97:M97)&lt;='07_Regras_Complexidade'!$D$7,'07_Regras_Complexidade'!$E$7,IF(SUM(J97:M97)&lt;='07_Regras_Complexidade'!$D$8,'07_Regras_Complexidade'!$E$8,IF(SUM(J97:M97)&lt;='07_Regras_Complexidade'!$D$9,'07_Regras_Complexidade'!$E$9,'07_Regras_Complexidade'!$E$10)))))))</x:f>
      </x:c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 t="str">
        <x:f>IF(B98="","",IF(OR(C98="Sem movimento",C98="Inativo",C98="Encerrado"),'07_Regras_Complexidade'!$E$5,IF(COUNT(J98:M98)&lt;4,'07_Regras_Complexidade'!$E$17,IF(SUM(J98:M98)&lt;='07_Regras_Complexidade'!$D$6,'07_Regras_Complexidade'!$E$6,IF(SUM(J98:M98)&lt;='07_Regras_Complexidade'!$D$7,'07_Regras_Complexidade'!$E$7,IF(SUM(J98:M98)&lt;='07_Regras_Complexidade'!$D$8,'07_Regras_Complexidade'!$E$8,IF(SUM(J98:M98)&lt;='07_Regras_Complexidade'!$D$9,'07_Regras_Complexidade'!$E$9,'07_Regras_Complexidade'!$E$10)))))))</x:f>
      </x:c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 t="str">
        <x:f>IF(B99="","",IF(OR(C99="Sem movimento",C99="Inativo",C99="Encerrado"),'07_Regras_Complexidade'!$E$5,IF(COUNT(J99:M99)&lt;4,'07_Regras_Complexidade'!$E$17,IF(SUM(J99:M99)&lt;='07_Regras_Complexidade'!$D$6,'07_Regras_Complexidade'!$E$6,IF(SUM(J99:M99)&lt;='07_Regras_Complexidade'!$D$7,'07_Regras_Complexidade'!$E$7,IF(SUM(J99:M99)&lt;='07_Regras_Complexidade'!$D$8,'07_Regras_Complexidade'!$E$8,IF(SUM(J99:M99)&lt;='07_Regras_Complexidade'!$D$9,'07_Regras_Complexidade'!$E$9,'07_Regras_Complexidade'!$E$10)))))))</x:f>
      </x:c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 t="str">
        <x:f>IF(B100="","",IF(OR(C100="Sem movimento",C100="Inativo",C100="Encerrado"),'07_Regras_Complexidade'!$E$5,IF(COUNT(J100:M100)&lt;4,'07_Regras_Complexidade'!$E$17,IF(SUM(J100:M100)&lt;='07_Regras_Complexidade'!$D$6,'07_Regras_Complexidade'!$E$6,IF(SUM(J100:M100)&lt;='07_Regras_Complexidade'!$D$7,'07_Regras_Complexidade'!$E$7,IF(SUM(J100:M100)&lt;='07_Regras_Complexidade'!$D$8,'07_Regras_Complexidade'!$E$8,IF(SUM(J100:M100)&lt;='07_Regras_Complexidade'!$D$9,'07_Regras_Complexidade'!$E$9,'07_Regras_Complexidade'!$E$10)))))))</x:f>
      </x:c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 t="str">
        <x:f>IF(B101="","",IF(OR(C101="Sem movimento",C101="Inativo",C101="Encerrado"),'07_Regras_Complexidade'!$E$5,IF(COUNT(J101:M101)&lt;4,'07_Regras_Complexidade'!$E$17,IF(SUM(J101:M101)&lt;='07_Regras_Complexidade'!$D$6,'07_Regras_Complexidade'!$E$6,IF(SUM(J101:M101)&lt;='07_Regras_Complexidade'!$D$7,'07_Regras_Complexidade'!$E$7,IF(SUM(J101:M101)&lt;='07_Regras_Complexidade'!$D$8,'07_Regras_Complexidade'!$E$8,IF(SUM(J101:M101)&lt;='07_Regras_Complexidade'!$D$9,'07_Regras_Complexidade'!$E$9,'07_Regras_Complexidade'!$E$10)))))))</x:f>
      </x:c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 t="str">
        <x:f>IF(B102="","",IF(OR(C102="Sem movimento",C102="Inativo",C102="Encerrado"),'07_Regras_Complexidade'!$E$5,IF(COUNT(J102:M102)&lt;4,'07_Regras_Complexidade'!$E$17,IF(SUM(J102:M102)&lt;='07_Regras_Complexidade'!$D$6,'07_Regras_Complexidade'!$E$6,IF(SUM(J102:M102)&lt;='07_Regras_Complexidade'!$D$7,'07_Regras_Complexidade'!$E$7,IF(SUM(J102:M102)&lt;='07_Regras_Complexidade'!$D$8,'07_Regras_Complexidade'!$E$8,IF(SUM(J102:M102)&lt;='07_Regras_Complexidade'!$D$9,'07_Regras_Complexidade'!$E$9,'07_Regras_Complexidade'!$E$10)))))))</x:f>
      </x:c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 t="str">
        <x:f>IF(B103="","",IF(OR(C103="Sem movimento",C103="Inativo",C103="Encerrado"),'07_Regras_Complexidade'!$E$5,IF(COUNT(J103:M103)&lt;4,'07_Regras_Complexidade'!$E$17,IF(SUM(J103:M103)&lt;='07_Regras_Complexidade'!$D$6,'07_Regras_Complexidade'!$E$6,IF(SUM(J103:M103)&lt;='07_Regras_Complexidade'!$D$7,'07_Regras_Complexidade'!$E$7,IF(SUM(J103:M103)&lt;='07_Regras_Complexidade'!$D$8,'07_Regras_Complexidade'!$E$8,IF(SUM(J103:M103)&lt;='07_Regras_Complexidade'!$D$9,'07_Regras_Complexidade'!$E$9,'07_Regras_Complexidade'!$E$10)))))))</x:f>
      </x:c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 t="str">
        <x:f>IF(B104="","",IF(OR(C104="Sem movimento",C104="Inativo",C104="Encerrado"),'07_Regras_Complexidade'!$E$5,IF(COUNT(J104:M104)&lt;4,'07_Regras_Complexidade'!$E$17,IF(SUM(J104:M104)&lt;='07_Regras_Complexidade'!$D$6,'07_Regras_Complexidade'!$E$6,IF(SUM(J104:M104)&lt;='07_Regras_Complexidade'!$D$7,'07_Regras_Complexidade'!$E$7,IF(SUM(J104:M104)&lt;='07_Regras_Complexidade'!$D$8,'07_Regras_Complexidade'!$E$8,IF(SUM(J104:M104)&lt;='07_Regras_Complexidade'!$D$9,'07_Regras_Complexidade'!$E$9,'07_Regras_Complexidade'!$E$10)))))))</x:f>
      </x:c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 t="str">
        <x:f>IF(B105="","",IF(OR(C105="Sem movimento",C105="Inativo",C105="Encerrado"),'07_Regras_Complexidade'!$E$5,IF(COUNT(J105:M105)&lt;4,'07_Regras_Complexidade'!$E$17,IF(SUM(J105:M105)&lt;='07_Regras_Complexidade'!$D$6,'07_Regras_Complexidade'!$E$6,IF(SUM(J105:M105)&lt;='07_Regras_Complexidade'!$D$7,'07_Regras_Complexidade'!$E$7,IF(SUM(J105:M105)&lt;='07_Regras_Complexidade'!$D$8,'07_Regras_Complexidade'!$E$8,IF(SUM(J105:M105)&lt;='07_Regras_Complexidade'!$D$9,'07_Regras_Complexidade'!$E$9,'07_Regras_Complexidade'!$E$10)))))))</x:f>
      </x:c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 t="str">
        <x:f>IF(B106="","",IF(OR(C106="Sem movimento",C106="Inativo",C106="Encerrado"),'07_Regras_Complexidade'!$E$5,IF(COUNT(J106:M106)&lt;4,'07_Regras_Complexidade'!$E$17,IF(SUM(J106:M106)&lt;='07_Regras_Complexidade'!$D$6,'07_Regras_Complexidade'!$E$6,IF(SUM(J106:M106)&lt;='07_Regras_Complexidade'!$D$7,'07_Regras_Complexidade'!$E$7,IF(SUM(J106:M106)&lt;='07_Regras_Complexidade'!$D$8,'07_Regras_Complexidade'!$E$8,IF(SUM(J106:M106)&lt;='07_Regras_Complexidade'!$D$9,'07_Regras_Complexidade'!$E$9,'07_Regras_Complexidade'!$E$10)))))))</x:f>
      </x:c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 t="str">
        <x:f>IF(B107="","",IF(OR(C107="Sem movimento",C107="Inativo",C107="Encerrado"),'07_Regras_Complexidade'!$E$5,IF(COUNT(J107:M107)&lt;4,'07_Regras_Complexidade'!$E$17,IF(SUM(J107:M107)&lt;='07_Regras_Complexidade'!$D$6,'07_Regras_Complexidade'!$E$6,IF(SUM(J107:M107)&lt;='07_Regras_Complexidade'!$D$7,'07_Regras_Complexidade'!$E$7,IF(SUM(J107:M107)&lt;='07_Regras_Complexidade'!$D$8,'07_Regras_Complexidade'!$E$8,IF(SUM(J107:M107)&lt;='07_Regras_Complexidade'!$D$9,'07_Regras_Complexidade'!$E$9,'07_Regras_Complexidade'!$E$10)))))))</x:f>
      </x:c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 t="str">
        <x:f>IF(B108="","",IF(OR(C108="Sem movimento",C108="Inativo",C108="Encerrado"),'07_Regras_Complexidade'!$E$5,IF(COUNT(J108:M108)&lt;4,'07_Regras_Complexidade'!$E$17,IF(SUM(J108:M108)&lt;='07_Regras_Complexidade'!$D$6,'07_Regras_Complexidade'!$E$6,IF(SUM(J108:M108)&lt;='07_Regras_Complexidade'!$D$7,'07_Regras_Complexidade'!$E$7,IF(SUM(J108:M108)&lt;='07_Regras_Complexidade'!$D$8,'07_Regras_Complexidade'!$E$8,IF(SUM(J108:M108)&lt;='07_Regras_Complexidade'!$D$9,'07_Regras_Complexidade'!$E$9,'07_Regras_Complexidade'!$E$10)))))))</x:f>
      </x:c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 t="str">
        <x:f>IF(B109="","",IF(OR(C109="Sem movimento",C109="Inativo",C109="Encerrado"),'07_Regras_Complexidade'!$E$5,IF(COUNT(J109:M109)&lt;4,'07_Regras_Complexidade'!$E$17,IF(SUM(J109:M109)&lt;='07_Regras_Complexidade'!$D$6,'07_Regras_Complexidade'!$E$6,IF(SUM(J109:M109)&lt;='07_Regras_Complexidade'!$D$7,'07_Regras_Complexidade'!$E$7,IF(SUM(J109:M109)&lt;='07_Regras_Complexidade'!$D$8,'07_Regras_Complexidade'!$E$8,IF(SUM(J109:M109)&lt;='07_Regras_Complexidade'!$D$9,'07_Regras_Complexidade'!$E$9,'07_Regras_Complexidade'!$E$10)))))))</x:f>
      </x:c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 t="str">
        <x:f>IF(B110="","",IF(OR(C110="Sem movimento",C110="Inativo",C110="Encerrado"),'07_Regras_Complexidade'!$E$5,IF(COUNT(J110:M110)&lt;4,'07_Regras_Complexidade'!$E$17,IF(SUM(J110:M110)&lt;='07_Regras_Complexidade'!$D$6,'07_Regras_Complexidade'!$E$6,IF(SUM(J110:M110)&lt;='07_Regras_Complexidade'!$D$7,'07_Regras_Complexidade'!$E$7,IF(SUM(J110:M110)&lt;='07_Regras_Complexidade'!$D$8,'07_Regras_Complexidade'!$E$8,IF(SUM(J110:M110)&lt;='07_Regras_Complexidade'!$D$9,'07_Regras_Complexidade'!$E$9,'07_Regras_Complexidade'!$E$10)))))))</x:f>
      </x:c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 t="str">
        <x:f>IF(B111="","",IF(OR(C111="Sem movimento",C111="Inativo",C111="Encerrado"),'07_Regras_Complexidade'!$E$5,IF(COUNT(J111:M111)&lt;4,'07_Regras_Complexidade'!$E$17,IF(SUM(J111:M111)&lt;='07_Regras_Complexidade'!$D$6,'07_Regras_Complexidade'!$E$6,IF(SUM(J111:M111)&lt;='07_Regras_Complexidade'!$D$7,'07_Regras_Complexidade'!$E$7,IF(SUM(J111:M111)&lt;='07_Regras_Complexidade'!$D$8,'07_Regras_Complexidade'!$E$8,IF(SUM(J111:M111)&lt;='07_Regras_Complexidade'!$D$9,'07_Regras_Complexidade'!$E$9,'07_Regras_Complexidade'!$E$10)))))))</x:f>
      </x:c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 t="str">
        <x:f>IF(B112="","",IF(OR(C112="Sem movimento",C112="Inativo",C112="Encerrado"),'07_Regras_Complexidade'!$E$5,IF(COUNT(J112:M112)&lt;4,'07_Regras_Complexidade'!$E$17,IF(SUM(J112:M112)&lt;='07_Regras_Complexidade'!$D$6,'07_Regras_Complexidade'!$E$6,IF(SUM(J112:M112)&lt;='07_Regras_Complexidade'!$D$7,'07_Regras_Complexidade'!$E$7,IF(SUM(J112:M112)&lt;='07_Regras_Complexidade'!$D$8,'07_Regras_Complexidade'!$E$8,IF(SUM(J112:M112)&lt;='07_Regras_Complexidade'!$D$9,'07_Regras_Complexidade'!$E$9,'07_Regras_Complexidade'!$E$10)))))))</x:f>
      </x:c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 t="str">
        <x:f>IF(B113="","",IF(OR(C113="Sem movimento",C113="Inativo",C113="Encerrado"),'07_Regras_Complexidade'!$E$5,IF(COUNT(J113:M113)&lt;4,'07_Regras_Complexidade'!$E$17,IF(SUM(J113:M113)&lt;='07_Regras_Complexidade'!$D$6,'07_Regras_Complexidade'!$E$6,IF(SUM(J113:M113)&lt;='07_Regras_Complexidade'!$D$7,'07_Regras_Complexidade'!$E$7,IF(SUM(J113:M113)&lt;='07_Regras_Complexidade'!$D$8,'07_Regras_Complexidade'!$E$8,IF(SUM(J113:M113)&lt;='07_Regras_Complexidade'!$D$9,'07_Regras_Complexidade'!$E$9,'07_Regras_Complexidade'!$E$10)))))))</x:f>
      </x:c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 t="str">
        <x:f>IF(B114="","",IF(OR(C114="Sem movimento",C114="Inativo",C114="Encerrado"),'07_Regras_Complexidade'!$E$5,IF(COUNT(J114:M114)&lt;4,'07_Regras_Complexidade'!$E$17,IF(SUM(J114:M114)&lt;='07_Regras_Complexidade'!$D$6,'07_Regras_Complexidade'!$E$6,IF(SUM(J114:M114)&lt;='07_Regras_Complexidade'!$D$7,'07_Regras_Complexidade'!$E$7,IF(SUM(J114:M114)&lt;='07_Regras_Complexidade'!$D$8,'07_Regras_Complexidade'!$E$8,IF(SUM(J114:M114)&lt;='07_Regras_Complexidade'!$D$9,'07_Regras_Complexidade'!$E$9,'07_Regras_Complexidade'!$E$10)))))))</x:f>
      </x:c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 t="str">
        <x:f>IF(B115="","",IF(OR(C115="Sem movimento",C115="Inativo",C115="Encerrado"),'07_Regras_Complexidade'!$E$5,IF(COUNT(J115:M115)&lt;4,'07_Regras_Complexidade'!$E$17,IF(SUM(J115:M115)&lt;='07_Regras_Complexidade'!$D$6,'07_Regras_Complexidade'!$E$6,IF(SUM(J115:M115)&lt;='07_Regras_Complexidade'!$D$7,'07_Regras_Complexidade'!$E$7,IF(SUM(J115:M115)&lt;='07_Regras_Complexidade'!$D$8,'07_Regras_Complexidade'!$E$8,IF(SUM(J115:M115)&lt;='07_Regras_Complexidade'!$D$9,'07_Regras_Complexidade'!$E$9,'07_Regras_Complexidade'!$E$10)))))))</x:f>
      </x:c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 t="str">
        <x:f>IF(B116="","",IF(OR(C116="Sem movimento",C116="Inativo",C116="Encerrado"),'07_Regras_Complexidade'!$E$5,IF(COUNT(J116:M116)&lt;4,'07_Regras_Complexidade'!$E$17,IF(SUM(J116:M116)&lt;='07_Regras_Complexidade'!$D$6,'07_Regras_Complexidade'!$E$6,IF(SUM(J116:M116)&lt;='07_Regras_Complexidade'!$D$7,'07_Regras_Complexidade'!$E$7,IF(SUM(J116:M116)&lt;='07_Regras_Complexidade'!$D$8,'07_Regras_Complexidade'!$E$8,IF(SUM(J116:M116)&lt;='07_Regras_Complexidade'!$D$9,'07_Regras_Complexidade'!$E$9,'07_Regras_Complexidade'!$E$10)))))))</x:f>
      </x:c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 t="str">
        <x:f>IF(B117="","",IF(OR(C117="Sem movimento",C117="Inativo",C117="Encerrado"),'07_Regras_Complexidade'!$E$5,IF(COUNT(J117:M117)&lt;4,'07_Regras_Complexidade'!$E$17,IF(SUM(J117:M117)&lt;='07_Regras_Complexidade'!$D$6,'07_Regras_Complexidade'!$E$6,IF(SUM(J117:M117)&lt;='07_Regras_Complexidade'!$D$7,'07_Regras_Complexidade'!$E$7,IF(SUM(J117:M117)&lt;='07_Regras_Complexidade'!$D$8,'07_Regras_Complexidade'!$E$8,IF(SUM(J117:M117)&lt;='07_Regras_Complexidade'!$D$9,'07_Regras_Complexidade'!$E$9,'07_Regras_Complexidade'!$E$10)))))))</x:f>
      </x:c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 t="str">
        <x:f>IF(B118="","",IF(OR(C118="Sem movimento",C118="Inativo",C118="Encerrado"),'07_Regras_Complexidade'!$E$5,IF(COUNT(J118:M118)&lt;4,'07_Regras_Complexidade'!$E$17,IF(SUM(J118:M118)&lt;='07_Regras_Complexidade'!$D$6,'07_Regras_Complexidade'!$E$6,IF(SUM(J118:M118)&lt;='07_Regras_Complexidade'!$D$7,'07_Regras_Complexidade'!$E$7,IF(SUM(J118:M118)&lt;='07_Regras_Complexidade'!$D$8,'07_Regras_Complexidade'!$E$8,IF(SUM(J118:M118)&lt;='07_Regras_Complexidade'!$D$9,'07_Regras_Complexidade'!$E$9,'07_Regras_Complexidade'!$E$10)))))))</x:f>
      </x:c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 t="str">
        <x:f>IF(B119="","",IF(OR(C119="Sem movimento",C119="Inativo",C119="Encerrado"),'07_Regras_Complexidade'!$E$5,IF(COUNT(J119:M119)&lt;4,'07_Regras_Complexidade'!$E$17,IF(SUM(J119:M119)&lt;='07_Regras_Complexidade'!$D$6,'07_Regras_Complexidade'!$E$6,IF(SUM(J119:M119)&lt;='07_Regras_Complexidade'!$D$7,'07_Regras_Complexidade'!$E$7,IF(SUM(J119:M119)&lt;='07_Regras_Complexidade'!$D$8,'07_Regras_Complexidade'!$E$8,IF(SUM(J119:M119)&lt;='07_Regras_Complexidade'!$D$9,'07_Regras_Complexidade'!$E$9,'07_Regras_Complexidade'!$E$10)))))))</x:f>
      </x:c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 t="str">
        <x:f>IF(B120="","",IF(OR(C120="Sem movimento",C120="Inativo",C120="Encerrado"),'07_Regras_Complexidade'!$E$5,IF(COUNT(J120:M120)&lt;4,'07_Regras_Complexidade'!$E$17,IF(SUM(J120:M120)&lt;='07_Regras_Complexidade'!$D$6,'07_Regras_Complexidade'!$E$6,IF(SUM(J120:M120)&lt;='07_Regras_Complexidade'!$D$7,'07_Regras_Complexidade'!$E$7,IF(SUM(J120:M120)&lt;='07_Regras_Complexidade'!$D$8,'07_Regras_Complexidade'!$E$8,IF(SUM(J120:M120)&lt;='07_Regras_Complexidade'!$D$9,'07_Regras_Complexidade'!$E$9,'07_Regras_Complexidade'!$E$10)))))))</x:f>
      </x:c>
      <x:c r="O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 t="str">
        <x:f>IF(B121="","",IF(OR(C121="Sem movimento",C121="Inativo",C121="Encerrado"),'07_Regras_Complexidade'!$E$5,IF(COUNT(J121:M121)&lt;4,'07_Regras_Complexidade'!$E$17,IF(SUM(J121:M121)&lt;='07_Regras_Complexidade'!$D$6,'07_Regras_Complexidade'!$E$6,IF(SUM(J121:M121)&lt;='07_Regras_Complexidade'!$D$7,'07_Regras_Complexidade'!$E$7,IF(SUM(J121:M121)&lt;='07_Regras_Complexidade'!$D$8,'07_Regras_Complexidade'!$E$8,IF(SUM(J121:M121)&lt;='07_Regras_Complexidade'!$D$9,'07_Regras_Complexidade'!$E$9,'07_Regras_Complexidade'!$E$10)))))))</x:f>
      </x:c>
      <x:c r="O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 t="str">
        <x:f>IF(B122="","",IF(OR(C122="Sem movimento",C122="Inativo",C122="Encerrado"),'07_Regras_Complexidade'!$E$5,IF(COUNT(J122:M122)&lt;4,'07_Regras_Complexidade'!$E$17,IF(SUM(J122:M122)&lt;='07_Regras_Complexidade'!$D$6,'07_Regras_Complexidade'!$E$6,IF(SUM(J122:M122)&lt;='07_Regras_Complexidade'!$D$7,'07_Regras_Complexidade'!$E$7,IF(SUM(J122:M122)&lt;='07_Regras_Complexidade'!$D$8,'07_Regras_Complexidade'!$E$8,IF(SUM(J122:M122)&lt;='07_Regras_Complexidade'!$D$9,'07_Regras_Complexidade'!$E$9,'07_Regras_Complexidade'!$E$10)))))))</x:f>
      </x:c>
      <x:c r="O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 t="str">
        <x:f>IF(B123="","",IF(OR(C123="Sem movimento",C123="Inativo",C123="Encerrado"),'07_Regras_Complexidade'!$E$5,IF(COUNT(J123:M123)&lt;4,'07_Regras_Complexidade'!$E$17,IF(SUM(J123:M123)&lt;='07_Regras_Complexidade'!$D$6,'07_Regras_Complexidade'!$E$6,IF(SUM(J123:M123)&lt;='07_Regras_Complexidade'!$D$7,'07_Regras_Complexidade'!$E$7,IF(SUM(J123:M123)&lt;='07_Regras_Complexidade'!$D$8,'07_Regras_Complexidade'!$E$8,IF(SUM(J123:M123)&lt;='07_Regras_Complexidade'!$D$9,'07_Regras_Complexidade'!$E$9,'07_Regras_Complexidade'!$E$10)))))))</x:f>
      </x:c>
      <x:c r="O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 t="str">
        <x:f>IF(B124="","",IF(OR(C124="Sem movimento",C124="Inativo",C124="Encerrado"),'07_Regras_Complexidade'!$E$5,IF(COUNT(J124:M124)&lt;4,'07_Regras_Complexidade'!$E$17,IF(SUM(J124:M124)&lt;='07_Regras_Complexidade'!$D$6,'07_Regras_Complexidade'!$E$6,IF(SUM(J124:M124)&lt;='07_Regras_Complexidade'!$D$7,'07_Regras_Complexidade'!$E$7,IF(SUM(J124:M124)&lt;='07_Regras_Complexidade'!$D$8,'07_Regras_Complexidade'!$E$8,IF(SUM(J124:M124)&lt;='07_Regras_Complexidade'!$D$9,'07_Regras_Complexidade'!$E$9,'07_Regras_Complexidade'!$E$10)))))))</x:f>
      </x:c>
      <x:c r="O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 t="str">
        <x:f>IF(B125="","",IF(OR(C125="Sem movimento",C125="Inativo",C125="Encerrado"),'07_Regras_Complexidade'!$E$5,IF(COUNT(J125:M125)&lt;4,'07_Regras_Complexidade'!$E$17,IF(SUM(J125:M125)&lt;='07_Regras_Complexidade'!$D$6,'07_Regras_Complexidade'!$E$6,IF(SUM(J125:M125)&lt;='07_Regras_Complexidade'!$D$7,'07_Regras_Complexidade'!$E$7,IF(SUM(J125:M125)&lt;='07_Regras_Complexidade'!$D$8,'07_Regras_Complexidade'!$E$8,IF(SUM(J125:M125)&lt;='07_Regras_Complexidade'!$D$9,'07_Regras_Complexidade'!$E$9,'07_Regras_Complexidade'!$E$10)))))))</x:f>
      </x:c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 t="str">
        <x:f>IF(B126="","",IF(OR(C126="Sem movimento",C126="Inativo",C126="Encerrado"),'07_Regras_Complexidade'!$E$5,IF(COUNT(J126:M126)&lt;4,'07_Regras_Complexidade'!$E$17,IF(SUM(J126:M126)&lt;='07_Regras_Complexidade'!$D$6,'07_Regras_Complexidade'!$E$6,IF(SUM(J126:M126)&lt;='07_Regras_Complexidade'!$D$7,'07_Regras_Complexidade'!$E$7,IF(SUM(J126:M126)&lt;='07_Regras_Complexidade'!$D$8,'07_Regras_Complexidade'!$E$8,IF(SUM(J126:M126)&lt;='07_Regras_Complexidade'!$D$9,'07_Regras_Complexidade'!$E$9,'07_Regras_Complexidade'!$E$10)))))))</x:f>
      </x:c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 t="str">
        <x:f>IF(B127="","",IF(OR(C127="Sem movimento",C127="Inativo",C127="Encerrado"),'07_Regras_Complexidade'!$E$5,IF(COUNT(J127:M127)&lt;4,'07_Regras_Complexidade'!$E$17,IF(SUM(J127:M127)&lt;='07_Regras_Complexidade'!$D$6,'07_Regras_Complexidade'!$E$6,IF(SUM(J127:M127)&lt;='07_Regras_Complexidade'!$D$7,'07_Regras_Complexidade'!$E$7,IF(SUM(J127:M127)&lt;='07_Regras_Complexidade'!$D$8,'07_Regras_Complexidade'!$E$8,IF(SUM(J127:M127)&lt;='07_Regras_Complexidade'!$D$9,'07_Regras_Complexidade'!$E$9,'07_Regras_Complexidade'!$E$10)))))))</x:f>
      </x:c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 t="str">
        <x:f>IF(B128="","",IF(OR(C128="Sem movimento",C128="Inativo",C128="Encerrado"),'07_Regras_Complexidade'!$E$5,IF(COUNT(J128:M128)&lt;4,'07_Regras_Complexidade'!$E$17,IF(SUM(J128:M128)&lt;='07_Regras_Complexidade'!$D$6,'07_Regras_Complexidade'!$E$6,IF(SUM(J128:M128)&lt;='07_Regras_Complexidade'!$D$7,'07_Regras_Complexidade'!$E$7,IF(SUM(J128:M128)&lt;='07_Regras_Complexidade'!$D$8,'07_Regras_Complexidade'!$E$8,IF(SUM(J128:M128)&lt;='07_Regras_Complexidade'!$D$9,'07_Regras_Complexidade'!$E$9,'07_Regras_Complexidade'!$E$10)))))))</x:f>
      </x:c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 t="str">
        <x:f>IF(B129="","",IF(OR(C129="Sem movimento",C129="Inativo",C129="Encerrado"),'07_Regras_Complexidade'!$E$5,IF(COUNT(J129:M129)&lt;4,'07_Regras_Complexidade'!$E$17,IF(SUM(J129:M129)&lt;='07_Regras_Complexidade'!$D$6,'07_Regras_Complexidade'!$E$6,IF(SUM(J129:M129)&lt;='07_Regras_Complexidade'!$D$7,'07_Regras_Complexidade'!$E$7,IF(SUM(J129:M129)&lt;='07_Regras_Complexidade'!$D$8,'07_Regras_Complexidade'!$E$8,IF(SUM(J129:M129)&lt;='07_Regras_Complexidade'!$D$9,'07_Regras_Complexidade'!$E$9,'07_Regras_Complexidade'!$E$10)))))))</x:f>
      </x:c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 t="str">
        <x:f>IF(B130="","",IF(OR(C130="Sem movimento",C130="Inativo",C130="Encerrado"),'07_Regras_Complexidade'!$E$5,IF(COUNT(J130:M130)&lt;4,'07_Regras_Complexidade'!$E$17,IF(SUM(J130:M130)&lt;='07_Regras_Complexidade'!$D$6,'07_Regras_Complexidade'!$E$6,IF(SUM(J130:M130)&lt;='07_Regras_Complexidade'!$D$7,'07_Regras_Complexidade'!$E$7,IF(SUM(J130:M130)&lt;='07_Regras_Complexidade'!$D$8,'07_Regras_Complexidade'!$E$8,IF(SUM(J130:M130)&lt;='07_Regras_Complexidade'!$D$9,'07_Regras_Complexidade'!$E$9,'07_Regras_Complexidade'!$E$10)))))))</x:f>
      </x:c>
      <x:c r="O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 t="str">
        <x:f>IF(B131="","",IF(OR(C131="Sem movimento",C131="Inativo",C131="Encerrado"),'07_Regras_Complexidade'!$E$5,IF(COUNT(J131:M131)&lt;4,'07_Regras_Complexidade'!$E$17,IF(SUM(J131:M131)&lt;='07_Regras_Complexidade'!$D$6,'07_Regras_Complexidade'!$E$6,IF(SUM(J131:M131)&lt;='07_Regras_Complexidade'!$D$7,'07_Regras_Complexidade'!$E$7,IF(SUM(J131:M131)&lt;='07_Regras_Complexidade'!$D$8,'07_Regras_Complexidade'!$E$8,IF(SUM(J131:M131)&lt;='07_Regras_Complexidade'!$D$9,'07_Regras_Complexidade'!$E$9,'07_Regras_Complexidade'!$E$10)))))))</x:f>
      </x:c>
      <x:c r="O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 t="str">
        <x:f>IF(B132="","",IF(OR(C132="Sem movimento",C132="Inativo",C132="Encerrado"),'07_Regras_Complexidade'!$E$5,IF(COUNT(J132:M132)&lt;4,'07_Regras_Complexidade'!$E$17,IF(SUM(J132:M132)&lt;='07_Regras_Complexidade'!$D$6,'07_Regras_Complexidade'!$E$6,IF(SUM(J132:M132)&lt;='07_Regras_Complexidade'!$D$7,'07_Regras_Complexidade'!$E$7,IF(SUM(J132:M132)&lt;='07_Regras_Complexidade'!$D$8,'07_Regras_Complexidade'!$E$8,IF(SUM(J132:M132)&lt;='07_Regras_Complexidade'!$D$9,'07_Regras_Complexidade'!$E$9,'07_Regras_Complexidade'!$E$10)))))))</x:f>
      </x:c>
      <x:c r="O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 t="str">
        <x:f>IF(B133="","",IF(OR(C133="Sem movimento",C133="Inativo",C133="Encerrado"),'07_Regras_Complexidade'!$E$5,IF(COUNT(J133:M133)&lt;4,'07_Regras_Complexidade'!$E$17,IF(SUM(J133:M133)&lt;='07_Regras_Complexidade'!$D$6,'07_Regras_Complexidade'!$E$6,IF(SUM(J133:M133)&lt;='07_Regras_Complexidade'!$D$7,'07_Regras_Complexidade'!$E$7,IF(SUM(J133:M133)&lt;='07_Regras_Complexidade'!$D$8,'07_Regras_Complexidade'!$E$8,IF(SUM(J133:M133)&lt;='07_Regras_Complexidade'!$D$9,'07_Regras_Complexidade'!$E$9,'07_Regras_Complexidade'!$E$10)))))))</x:f>
      </x:c>
      <x:c r="O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 t="str">
        <x:f>IF(B134="","",IF(OR(C134="Sem movimento",C134="Inativo",C134="Encerrado"),'07_Regras_Complexidade'!$E$5,IF(COUNT(J134:M134)&lt;4,'07_Regras_Complexidade'!$E$17,IF(SUM(J134:M134)&lt;='07_Regras_Complexidade'!$D$6,'07_Regras_Complexidade'!$E$6,IF(SUM(J134:M134)&lt;='07_Regras_Complexidade'!$D$7,'07_Regras_Complexidade'!$E$7,IF(SUM(J134:M134)&lt;='07_Regras_Complexidade'!$D$8,'07_Regras_Complexidade'!$E$8,IF(SUM(J134:M134)&lt;='07_Regras_Complexidade'!$D$9,'07_Regras_Complexidade'!$E$9,'07_Regras_Complexidade'!$E$10)))))))</x:f>
      </x:c>
      <x:c r="O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 t="str">
        <x:f>IF(B135="","",IF(OR(C135="Sem movimento",C135="Inativo",C135="Encerrado"),'07_Regras_Complexidade'!$E$5,IF(COUNT(J135:M135)&lt;4,'07_Regras_Complexidade'!$E$17,IF(SUM(J135:M135)&lt;='07_Regras_Complexidade'!$D$6,'07_Regras_Complexidade'!$E$6,IF(SUM(J135:M135)&lt;='07_Regras_Complexidade'!$D$7,'07_Regras_Complexidade'!$E$7,IF(SUM(J135:M135)&lt;='07_Regras_Complexidade'!$D$8,'07_Regras_Complexidade'!$E$8,IF(SUM(J135:M135)&lt;='07_Regras_Complexidade'!$D$9,'07_Regras_Complexidade'!$E$9,'07_Regras_Complexidade'!$E$10)))))))</x:f>
      </x:c>
      <x:c r="O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 t="str">
        <x:f>IF(B136="","",IF(OR(C136="Sem movimento",C136="Inativo",C136="Encerrado"),'07_Regras_Complexidade'!$E$5,IF(COUNT(J136:M136)&lt;4,'07_Regras_Complexidade'!$E$17,IF(SUM(J136:M136)&lt;='07_Regras_Complexidade'!$D$6,'07_Regras_Complexidade'!$E$6,IF(SUM(J136:M136)&lt;='07_Regras_Complexidade'!$D$7,'07_Regras_Complexidade'!$E$7,IF(SUM(J136:M136)&lt;='07_Regras_Complexidade'!$D$8,'07_Regras_Complexidade'!$E$8,IF(SUM(J136:M136)&lt;='07_Regras_Complexidade'!$D$9,'07_Regras_Complexidade'!$E$9,'07_Regras_Complexidade'!$E$10)))))))</x:f>
      </x:c>
      <x:c r="O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 t="str">
        <x:f>IF(B137="","",IF(OR(C137="Sem movimento",C137="Inativo",C137="Encerrado"),'07_Regras_Complexidade'!$E$5,IF(COUNT(J137:M137)&lt;4,'07_Regras_Complexidade'!$E$17,IF(SUM(J137:M137)&lt;='07_Regras_Complexidade'!$D$6,'07_Regras_Complexidade'!$E$6,IF(SUM(J137:M137)&lt;='07_Regras_Complexidade'!$D$7,'07_Regras_Complexidade'!$E$7,IF(SUM(J137:M137)&lt;='07_Regras_Complexidade'!$D$8,'07_Regras_Complexidade'!$E$8,IF(SUM(J137:M137)&lt;='07_Regras_Complexidade'!$D$9,'07_Regras_Complexidade'!$E$9,'07_Regras_Complexidade'!$E$10)))))))</x:f>
      </x:c>
      <x:c r="O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 t="str">
        <x:f>IF(B138="","",IF(OR(C138="Sem movimento",C138="Inativo",C138="Encerrado"),'07_Regras_Complexidade'!$E$5,IF(COUNT(J138:M138)&lt;4,'07_Regras_Complexidade'!$E$17,IF(SUM(J138:M138)&lt;='07_Regras_Complexidade'!$D$6,'07_Regras_Complexidade'!$E$6,IF(SUM(J138:M138)&lt;='07_Regras_Complexidade'!$D$7,'07_Regras_Complexidade'!$E$7,IF(SUM(J138:M138)&lt;='07_Regras_Complexidade'!$D$8,'07_Regras_Complexidade'!$E$8,IF(SUM(J138:M138)&lt;='07_Regras_Complexidade'!$D$9,'07_Regras_Complexidade'!$E$9,'07_Regras_Complexidade'!$E$10)))))))</x:f>
      </x:c>
      <x:c r="O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 t="str">
        <x:f>IF(B139="","",IF(OR(C139="Sem movimento",C139="Inativo",C139="Encerrado"),'07_Regras_Complexidade'!$E$5,IF(COUNT(J139:M139)&lt;4,'07_Regras_Complexidade'!$E$17,IF(SUM(J139:M139)&lt;='07_Regras_Complexidade'!$D$6,'07_Regras_Complexidade'!$E$6,IF(SUM(J139:M139)&lt;='07_Regras_Complexidade'!$D$7,'07_Regras_Complexidade'!$E$7,IF(SUM(J139:M139)&lt;='07_Regras_Complexidade'!$D$8,'07_Regras_Complexidade'!$E$8,IF(SUM(J139:M139)&lt;='07_Regras_Complexidade'!$D$9,'07_Regras_Complexidade'!$E$9,'07_Regras_Complexidade'!$E$10)))))))</x:f>
      </x:c>
      <x:c r="O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 t="str">
        <x:f>IF(B140="","",IF(OR(C140="Sem movimento",C140="Inativo",C140="Encerrado"),'07_Regras_Complexidade'!$E$5,IF(COUNT(J140:M140)&lt;4,'07_Regras_Complexidade'!$E$17,IF(SUM(J140:M140)&lt;='07_Regras_Complexidade'!$D$6,'07_Regras_Complexidade'!$E$6,IF(SUM(J140:M140)&lt;='07_Regras_Complexidade'!$D$7,'07_Regras_Complexidade'!$E$7,IF(SUM(J140:M140)&lt;='07_Regras_Complexidade'!$D$8,'07_Regras_Complexidade'!$E$8,IF(SUM(J140:M140)&lt;='07_Regras_Complexidade'!$D$9,'07_Regras_Complexidade'!$E$9,'07_Regras_Complexidade'!$E$10)))))))</x:f>
      </x:c>
      <x:c r="O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 t="str">
        <x:f>IF(B141="","",IF(OR(C141="Sem movimento",C141="Inativo",C141="Encerrado"),'07_Regras_Complexidade'!$E$5,IF(COUNT(J141:M141)&lt;4,'07_Regras_Complexidade'!$E$17,IF(SUM(J141:M141)&lt;='07_Regras_Complexidade'!$D$6,'07_Regras_Complexidade'!$E$6,IF(SUM(J141:M141)&lt;='07_Regras_Complexidade'!$D$7,'07_Regras_Complexidade'!$E$7,IF(SUM(J141:M141)&lt;='07_Regras_Complexidade'!$D$8,'07_Regras_Complexidade'!$E$8,IF(SUM(J141:M141)&lt;='07_Regras_Complexidade'!$D$9,'07_Regras_Complexidade'!$E$9,'07_Regras_Complexidade'!$E$10)))))))</x:f>
      </x:c>
      <x:c r="O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 t="str">
        <x:f>IF(B142="","",IF(OR(C142="Sem movimento",C142="Inativo",C142="Encerrado"),'07_Regras_Complexidade'!$E$5,IF(COUNT(J142:M142)&lt;4,'07_Regras_Complexidade'!$E$17,IF(SUM(J142:M142)&lt;='07_Regras_Complexidade'!$D$6,'07_Regras_Complexidade'!$E$6,IF(SUM(J142:M142)&lt;='07_Regras_Complexidade'!$D$7,'07_Regras_Complexidade'!$E$7,IF(SUM(J142:M142)&lt;='07_Regras_Complexidade'!$D$8,'07_Regras_Complexidade'!$E$8,IF(SUM(J142:M142)&lt;='07_Regras_Complexidade'!$D$9,'07_Regras_Complexidade'!$E$9,'07_Regras_Complexidade'!$E$10)))))))</x:f>
      </x:c>
      <x:c r="O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 t="str">
        <x:f>IF(B143="","",IF(OR(C143="Sem movimento",C143="Inativo",C143="Encerrado"),'07_Regras_Complexidade'!$E$5,IF(COUNT(J143:M143)&lt;4,'07_Regras_Complexidade'!$E$17,IF(SUM(J143:M143)&lt;='07_Regras_Complexidade'!$D$6,'07_Regras_Complexidade'!$E$6,IF(SUM(J143:M143)&lt;='07_Regras_Complexidade'!$D$7,'07_Regras_Complexidade'!$E$7,IF(SUM(J143:M143)&lt;='07_Regras_Complexidade'!$D$8,'07_Regras_Complexidade'!$E$8,IF(SUM(J143:M143)&lt;='07_Regras_Complexidade'!$D$9,'07_Regras_Complexidade'!$E$9,'07_Regras_Complexidade'!$E$10)))))))</x:f>
      </x:c>
      <x:c r="O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 t="str">
        <x:f>IF(B144="","",IF(OR(C144="Sem movimento",C144="Inativo",C144="Encerrado"),'07_Regras_Complexidade'!$E$5,IF(COUNT(J144:M144)&lt;4,'07_Regras_Complexidade'!$E$17,IF(SUM(J144:M144)&lt;='07_Regras_Complexidade'!$D$6,'07_Regras_Complexidade'!$E$6,IF(SUM(J144:M144)&lt;='07_Regras_Complexidade'!$D$7,'07_Regras_Complexidade'!$E$7,IF(SUM(J144:M144)&lt;='07_Regras_Complexidade'!$D$8,'07_Regras_Complexidade'!$E$8,IF(SUM(J144:M144)&lt;='07_Regras_Complexidade'!$D$9,'07_Regras_Complexidade'!$E$9,'07_Regras_Complexidade'!$E$10)))))))</x:f>
      </x:c>
      <x:c r="O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 t="str">
        <x:f>IF(B145="","",IF(OR(C145="Sem movimento",C145="Inativo",C145="Encerrado"),'07_Regras_Complexidade'!$E$5,IF(COUNT(J145:M145)&lt;4,'07_Regras_Complexidade'!$E$17,IF(SUM(J145:M145)&lt;='07_Regras_Complexidade'!$D$6,'07_Regras_Complexidade'!$E$6,IF(SUM(J145:M145)&lt;='07_Regras_Complexidade'!$D$7,'07_Regras_Complexidade'!$E$7,IF(SUM(J145:M145)&lt;='07_Regras_Complexidade'!$D$8,'07_Regras_Complexidade'!$E$8,IF(SUM(J145:M145)&lt;='07_Regras_Complexidade'!$D$9,'07_Regras_Complexidade'!$E$9,'07_Regras_Complexidade'!$E$10)))))))</x:f>
      </x:c>
      <x:c r="O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 t="str">
        <x:f>IF(B146="","",IF(OR(C146="Sem movimento",C146="Inativo",C146="Encerrado"),'07_Regras_Complexidade'!$E$5,IF(COUNT(J146:M146)&lt;4,'07_Regras_Complexidade'!$E$17,IF(SUM(J146:M146)&lt;='07_Regras_Complexidade'!$D$6,'07_Regras_Complexidade'!$E$6,IF(SUM(J146:M146)&lt;='07_Regras_Complexidade'!$D$7,'07_Regras_Complexidade'!$E$7,IF(SUM(J146:M146)&lt;='07_Regras_Complexidade'!$D$8,'07_Regras_Complexidade'!$E$8,IF(SUM(J146:M146)&lt;='07_Regras_Complexidade'!$D$9,'07_Regras_Complexidade'!$E$9,'07_Regras_Complexidade'!$E$10)))))))</x:f>
      </x:c>
      <x:c r="O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 t="str">
        <x:f>IF(B147="","",IF(OR(C147="Sem movimento",C147="Inativo",C147="Encerrado"),'07_Regras_Complexidade'!$E$5,IF(COUNT(J147:M147)&lt;4,'07_Regras_Complexidade'!$E$17,IF(SUM(J147:M147)&lt;='07_Regras_Complexidade'!$D$6,'07_Regras_Complexidade'!$E$6,IF(SUM(J147:M147)&lt;='07_Regras_Complexidade'!$D$7,'07_Regras_Complexidade'!$E$7,IF(SUM(J147:M147)&lt;='07_Regras_Complexidade'!$D$8,'07_Regras_Complexidade'!$E$8,IF(SUM(J147:M147)&lt;='07_Regras_Complexidade'!$D$9,'07_Regras_Complexidade'!$E$9,'07_Regras_Complexidade'!$E$10)))))))</x:f>
      </x:c>
      <x:c r="O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 t="str">
        <x:f>IF(B148="","",IF(OR(C148="Sem movimento",C148="Inativo",C148="Encerrado"),'07_Regras_Complexidade'!$E$5,IF(COUNT(J148:M148)&lt;4,'07_Regras_Complexidade'!$E$17,IF(SUM(J148:M148)&lt;='07_Regras_Complexidade'!$D$6,'07_Regras_Complexidade'!$E$6,IF(SUM(J148:M148)&lt;='07_Regras_Complexidade'!$D$7,'07_Regras_Complexidade'!$E$7,IF(SUM(J148:M148)&lt;='07_Regras_Complexidade'!$D$8,'07_Regras_Complexidade'!$E$8,IF(SUM(J148:M148)&lt;='07_Regras_Complexidade'!$D$9,'07_Regras_Complexidade'!$E$9,'07_Regras_Complexidade'!$E$10)))))))</x:f>
      </x:c>
      <x:c r="O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 t="str">
        <x:f>IF(B149="","",IF(OR(C149="Sem movimento",C149="Inativo",C149="Encerrado"),'07_Regras_Complexidade'!$E$5,IF(COUNT(J149:M149)&lt;4,'07_Regras_Complexidade'!$E$17,IF(SUM(J149:M149)&lt;='07_Regras_Complexidade'!$D$6,'07_Regras_Complexidade'!$E$6,IF(SUM(J149:M149)&lt;='07_Regras_Complexidade'!$D$7,'07_Regras_Complexidade'!$E$7,IF(SUM(J149:M149)&lt;='07_Regras_Complexidade'!$D$8,'07_Regras_Complexidade'!$E$8,IF(SUM(J149:M149)&lt;='07_Regras_Complexidade'!$D$9,'07_Regras_Complexidade'!$E$9,'07_Regras_Complexidade'!$E$10)))))))</x:f>
      </x:c>
      <x:c r="O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 t="str">
        <x:f>IF(B150="","",IF(OR(C150="Sem movimento",C150="Inativo",C150="Encerrado"),'07_Regras_Complexidade'!$E$5,IF(COUNT(J150:M150)&lt;4,'07_Regras_Complexidade'!$E$17,IF(SUM(J150:M150)&lt;='07_Regras_Complexidade'!$D$6,'07_Regras_Complexidade'!$E$6,IF(SUM(J150:M150)&lt;='07_Regras_Complexidade'!$D$7,'07_Regras_Complexidade'!$E$7,IF(SUM(J150:M150)&lt;='07_Regras_Complexidade'!$D$8,'07_Regras_Complexidade'!$E$8,IF(SUM(J150:M150)&lt;='07_Regras_Complexidade'!$D$9,'07_Regras_Complexidade'!$E$9,'07_Regras_Complexidade'!$E$10)))))))</x:f>
      </x:c>
      <x:c r="O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 t="str">
        <x:f>IF(B151="","",IF(OR(C151="Sem movimento",C151="Inativo",C151="Encerrado"),'07_Regras_Complexidade'!$E$5,IF(COUNT(J151:M151)&lt;4,'07_Regras_Complexidade'!$E$17,IF(SUM(J151:M151)&lt;='07_Regras_Complexidade'!$D$6,'07_Regras_Complexidade'!$E$6,IF(SUM(J151:M151)&lt;='07_Regras_Complexidade'!$D$7,'07_Regras_Complexidade'!$E$7,IF(SUM(J151:M151)&lt;='07_Regras_Complexidade'!$D$8,'07_Regras_Complexidade'!$E$8,IF(SUM(J151:M151)&lt;='07_Regras_Complexidade'!$D$9,'07_Regras_Complexidade'!$E$9,'07_Regras_Complexidade'!$E$10)))))))</x:f>
      </x:c>
      <x:c r="O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 t="str">
        <x:f>IF(B152="","",IF(OR(C152="Sem movimento",C152="Inativo",C152="Encerrado"),'07_Regras_Complexidade'!$E$5,IF(COUNT(J152:M152)&lt;4,'07_Regras_Complexidade'!$E$17,IF(SUM(J152:M152)&lt;='07_Regras_Complexidade'!$D$6,'07_Regras_Complexidade'!$E$6,IF(SUM(J152:M152)&lt;='07_Regras_Complexidade'!$D$7,'07_Regras_Complexidade'!$E$7,IF(SUM(J152:M152)&lt;='07_Regras_Complexidade'!$D$8,'07_Regras_Complexidade'!$E$8,IF(SUM(J152:M152)&lt;='07_Regras_Complexidade'!$D$9,'07_Regras_Complexidade'!$E$9,'07_Regras_Complexidade'!$E$10)))))))</x:f>
      </x:c>
      <x:c r="O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 t="str">
        <x:f>IF(B153="","",IF(OR(C153="Sem movimento",C153="Inativo",C153="Encerrado"),'07_Regras_Complexidade'!$E$5,IF(COUNT(J153:M153)&lt;4,'07_Regras_Complexidade'!$E$17,IF(SUM(J153:M153)&lt;='07_Regras_Complexidade'!$D$6,'07_Regras_Complexidade'!$E$6,IF(SUM(J153:M153)&lt;='07_Regras_Complexidade'!$D$7,'07_Regras_Complexidade'!$E$7,IF(SUM(J153:M153)&lt;='07_Regras_Complexidade'!$D$8,'07_Regras_Complexidade'!$E$8,IF(SUM(J153:M153)&lt;='07_Regras_Complexidade'!$D$9,'07_Regras_Complexidade'!$E$9,'07_Regras_Complexidade'!$E$10)))))))</x:f>
      </x:c>
      <x:c r="O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 t="str">
        <x:f>IF(B154="","",IF(OR(C154="Sem movimento",C154="Inativo",C154="Encerrado"),'07_Regras_Complexidade'!$E$5,IF(COUNT(J154:M154)&lt;4,'07_Regras_Complexidade'!$E$17,IF(SUM(J154:M154)&lt;='07_Regras_Complexidade'!$D$6,'07_Regras_Complexidade'!$E$6,IF(SUM(J154:M154)&lt;='07_Regras_Complexidade'!$D$7,'07_Regras_Complexidade'!$E$7,IF(SUM(J154:M154)&lt;='07_Regras_Complexidade'!$D$8,'07_Regras_Complexidade'!$E$8,IF(SUM(J154:M154)&lt;='07_Regras_Complexidade'!$D$9,'07_Regras_Complexidade'!$E$9,'07_Regras_Complexidade'!$E$10)))))))</x:f>
      </x:c>
      <x:c r="O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 t="str">
        <x:f>IF(B155="","",IF(OR(C155="Sem movimento",C155="Inativo",C155="Encerrado"),'07_Regras_Complexidade'!$E$5,IF(COUNT(J155:M155)&lt;4,'07_Regras_Complexidade'!$E$17,IF(SUM(J155:M155)&lt;='07_Regras_Complexidade'!$D$6,'07_Regras_Complexidade'!$E$6,IF(SUM(J155:M155)&lt;='07_Regras_Complexidade'!$D$7,'07_Regras_Complexidade'!$E$7,IF(SUM(J155:M155)&lt;='07_Regras_Complexidade'!$D$8,'07_Regras_Complexidade'!$E$8,IF(SUM(J155:M155)&lt;='07_Regras_Complexidade'!$D$9,'07_Regras_Complexidade'!$E$9,'07_Regras_Complexidade'!$E$10)))))))</x:f>
      </x:c>
      <x:c r="O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 t="str">
        <x:f>IF(B156="","",IF(OR(C156="Sem movimento",C156="Inativo",C156="Encerrado"),'07_Regras_Complexidade'!$E$5,IF(COUNT(J156:M156)&lt;4,'07_Regras_Complexidade'!$E$17,IF(SUM(J156:M156)&lt;='07_Regras_Complexidade'!$D$6,'07_Regras_Complexidade'!$E$6,IF(SUM(J156:M156)&lt;='07_Regras_Complexidade'!$D$7,'07_Regras_Complexidade'!$E$7,IF(SUM(J156:M156)&lt;='07_Regras_Complexidade'!$D$8,'07_Regras_Complexidade'!$E$8,IF(SUM(J156:M156)&lt;='07_Regras_Complexidade'!$D$9,'07_Regras_Complexidade'!$E$9,'07_Regras_Complexidade'!$E$10)))))))</x:f>
      </x:c>
      <x:c r="O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 t="str">
        <x:f>IF(B157="","",IF(OR(C157="Sem movimento",C157="Inativo",C157="Encerrado"),'07_Regras_Complexidade'!$E$5,IF(COUNT(J157:M157)&lt;4,'07_Regras_Complexidade'!$E$17,IF(SUM(J157:M157)&lt;='07_Regras_Complexidade'!$D$6,'07_Regras_Complexidade'!$E$6,IF(SUM(J157:M157)&lt;='07_Regras_Complexidade'!$D$7,'07_Regras_Complexidade'!$E$7,IF(SUM(J157:M157)&lt;='07_Regras_Complexidade'!$D$8,'07_Regras_Complexidade'!$E$8,IF(SUM(J157:M157)&lt;='07_Regras_Complexidade'!$D$9,'07_Regras_Complexidade'!$E$9,'07_Regras_Complexidade'!$E$10)))))))</x:f>
      </x:c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 t="str">
        <x:f>IF(B158="","",IF(OR(C158="Sem movimento",C158="Inativo",C158="Encerrado"),'07_Regras_Complexidade'!$E$5,IF(COUNT(J158:M158)&lt;4,'07_Regras_Complexidade'!$E$17,IF(SUM(J158:M158)&lt;='07_Regras_Complexidade'!$D$6,'07_Regras_Complexidade'!$E$6,IF(SUM(J158:M158)&lt;='07_Regras_Complexidade'!$D$7,'07_Regras_Complexidade'!$E$7,IF(SUM(J158:M158)&lt;='07_Regras_Complexidade'!$D$8,'07_Regras_Complexidade'!$E$8,IF(SUM(J158:M158)&lt;='07_Regras_Complexidade'!$D$9,'07_Regras_Complexidade'!$E$9,'07_Regras_Complexidade'!$E$10)))))))</x:f>
      </x:c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 t="str">
        <x:f>IF(B159="","",IF(OR(C159="Sem movimento",C159="Inativo",C159="Encerrado"),'07_Regras_Complexidade'!$E$5,IF(COUNT(J159:M159)&lt;4,'07_Regras_Complexidade'!$E$17,IF(SUM(J159:M159)&lt;='07_Regras_Complexidade'!$D$6,'07_Regras_Complexidade'!$E$6,IF(SUM(J159:M159)&lt;='07_Regras_Complexidade'!$D$7,'07_Regras_Complexidade'!$E$7,IF(SUM(J159:M159)&lt;='07_Regras_Complexidade'!$D$8,'07_Regras_Complexidade'!$E$8,IF(SUM(J159:M159)&lt;='07_Regras_Complexidade'!$D$9,'07_Regras_Complexidade'!$E$9,'07_Regras_Complexidade'!$E$10)))))))</x:f>
      </x:c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 t="str">
        <x:f>IF(B160="","",IF(OR(C160="Sem movimento",C160="Inativo",C160="Encerrado"),'07_Regras_Complexidade'!$E$5,IF(COUNT(J160:M160)&lt;4,'07_Regras_Complexidade'!$E$17,IF(SUM(J160:M160)&lt;='07_Regras_Complexidade'!$D$6,'07_Regras_Complexidade'!$E$6,IF(SUM(J160:M160)&lt;='07_Regras_Complexidade'!$D$7,'07_Regras_Complexidade'!$E$7,IF(SUM(J160:M160)&lt;='07_Regras_Complexidade'!$D$8,'07_Regras_Complexidade'!$E$8,IF(SUM(J160:M160)&lt;='07_Regras_Complexidade'!$D$9,'07_Regras_Complexidade'!$E$9,'07_Regras_Complexidade'!$E$10)))))))</x:f>
      </x:c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 t="str">
        <x:f>IF(B161="","",IF(OR(C161="Sem movimento",C161="Inativo",C161="Encerrado"),'07_Regras_Complexidade'!$E$5,IF(COUNT(J161:M161)&lt;4,'07_Regras_Complexidade'!$E$17,IF(SUM(J161:M161)&lt;='07_Regras_Complexidade'!$D$6,'07_Regras_Complexidade'!$E$6,IF(SUM(J161:M161)&lt;='07_Regras_Complexidade'!$D$7,'07_Regras_Complexidade'!$E$7,IF(SUM(J161:M161)&lt;='07_Regras_Complexidade'!$D$8,'07_Regras_Complexidade'!$E$8,IF(SUM(J161:M161)&lt;='07_Regras_Complexidade'!$D$9,'07_Regras_Complexidade'!$E$9,'07_Regras_Complexidade'!$E$10)))))))</x:f>
      </x:c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 t="str">
        <x:f>IF(B162="","",IF(OR(C162="Sem movimento",C162="Inativo",C162="Encerrado"),'07_Regras_Complexidade'!$E$5,IF(COUNT(J162:M162)&lt;4,'07_Regras_Complexidade'!$E$17,IF(SUM(J162:M162)&lt;='07_Regras_Complexidade'!$D$6,'07_Regras_Complexidade'!$E$6,IF(SUM(J162:M162)&lt;='07_Regras_Complexidade'!$D$7,'07_Regras_Complexidade'!$E$7,IF(SUM(J162:M162)&lt;='07_Regras_Complexidade'!$D$8,'07_Regras_Complexidade'!$E$8,IF(SUM(J162:M162)&lt;='07_Regras_Complexidade'!$D$9,'07_Regras_Complexidade'!$E$9,'07_Regras_Complexidade'!$E$10)))))))</x:f>
      </x:c>
      <x:c r="O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 t="str">
        <x:f>IF(B163="","",IF(OR(C163="Sem movimento",C163="Inativo",C163="Encerrado"),'07_Regras_Complexidade'!$E$5,IF(COUNT(J163:M163)&lt;4,'07_Regras_Complexidade'!$E$17,IF(SUM(J163:M163)&lt;='07_Regras_Complexidade'!$D$6,'07_Regras_Complexidade'!$E$6,IF(SUM(J163:M163)&lt;='07_Regras_Complexidade'!$D$7,'07_Regras_Complexidade'!$E$7,IF(SUM(J163:M163)&lt;='07_Regras_Complexidade'!$D$8,'07_Regras_Complexidade'!$E$8,IF(SUM(J163:M163)&lt;='07_Regras_Complexidade'!$D$9,'07_Regras_Complexidade'!$E$9,'07_Regras_Complexidade'!$E$10)))))))</x:f>
      </x:c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 t="str">
        <x:f>IF(B164="","",IF(OR(C164="Sem movimento",C164="Inativo",C164="Encerrado"),'07_Regras_Complexidade'!$E$5,IF(COUNT(J164:M164)&lt;4,'07_Regras_Complexidade'!$E$17,IF(SUM(J164:M164)&lt;='07_Regras_Complexidade'!$D$6,'07_Regras_Complexidade'!$E$6,IF(SUM(J164:M164)&lt;='07_Regras_Complexidade'!$D$7,'07_Regras_Complexidade'!$E$7,IF(SUM(J164:M164)&lt;='07_Regras_Complexidade'!$D$8,'07_Regras_Complexidade'!$E$8,IF(SUM(J164:M164)&lt;='07_Regras_Complexidade'!$D$9,'07_Regras_Complexidade'!$E$9,'07_Regras_Complexidade'!$E$10)))))))</x:f>
      </x:c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 t="str">
        <x:f>IF(B165="","",IF(OR(C165="Sem movimento",C165="Inativo",C165="Encerrado"),'07_Regras_Complexidade'!$E$5,IF(COUNT(J165:M165)&lt;4,'07_Regras_Complexidade'!$E$17,IF(SUM(J165:M165)&lt;='07_Regras_Complexidade'!$D$6,'07_Regras_Complexidade'!$E$6,IF(SUM(J165:M165)&lt;='07_Regras_Complexidade'!$D$7,'07_Regras_Complexidade'!$E$7,IF(SUM(J165:M165)&lt;='07_Regras_Complexidade'!$D$8,'07_Regras_Complexidade'!$E$8,IF(SUM(J165:M165)&lt;='07_Regras_Complexidade'!$D$9,'07_Regras_Complexidade'!$E$9,'07_Regras_Complexidade'!$E$10)))))))</x:f>
      </x:c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 t="str">
        <x:f>IF(B166="","",IF(OR(C166="Sem movimento",C166="Inativo",C166="Encerrado"),'07_Regras_Complexidade'!$E$5,IF(COUNT(J166:M166)&lt;4,'07_Regras_Complexidade'!$E$17,IF(SUM(J166:M166)&lt;='07_Regras_Complexidade'!$D$6,'07_Regras_Complexidade'!$E$6,IF(SUM(J166:M166)&lt;='07_Regras_Complexidade'!$D$7,'07_Regras_Complexidade'!$E$7,IF(SUM(J166:M166)&lt;='07_Regras_Complexidade'!$D$8,'07_Regras_Complexidade'!$E$8,IF(SUM(J166:M166)&lt;='07_Regras_Complexidade'!$D$9,'07_Regras_Complexidade'!$E$9,'07_Regras_Complexidade'!$E$10)))))))</x:f>
      </x:c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 t="str">
        <x:f>IF(B167="","",IF(OR(C167="Sem movimento",C167="Inativo",C167="Encerrado"),'07_Regras_Complexidade'!$E$5,IF(COUNT(J167:M167)&lt;4,'07_Regras_Complexidade'!$E$17,IF(SUM(J167:M167)&lt;='07_Regras_Complexidade'!$D$6,'07_Regras_Complexidade'!$E$6,IF(SUM(J167:M167)&lt;='07_Regras_Complexidade'!$D$7,'07_Regras_Complexidade'!$E$7,IF(SUM(J167:M167)&lt;='07_Regras_Complexidade'!$D$8,'07_Regras_Complexidade'!$E$8,IF(SUM(J167:M167)&lt;='07_Regras_Complexidade'!$D$9,'07_Regras_Complexidade'!$E$9,'07_Regras_Complexidade'!$E$10)))))))</x:f>
      </x:c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 t="str">
        <x:f>IF(B168="","",IF(OR(C168="Sem movimento",C168="Inativo",C168="Encerrado"),'07_Regras_Complexidade'!$E$5,IF(COUNT(J168:M168)&lt;4,'07_Regras_Complexidade'!$E$17,IF(SUM(J168:M168)&lt;='07_Regras_Complexidade'!$D$6,'07_Regras_Complexidade'!$E$6,IF(SUM(J168:M168)&lt;='07_Regras_Complexidade'!$D$7,'07_Regras_Complexidade'!$E$7,IF(SUM(J168:M168)&lt;='07_Regras_Complexidade'!$D$8,'07_Regras_Complexidade'!$E$8,IF(SUM(J168:M168)&lt;='07_Regras_Complexidade'!$D$9,'07_Regras_Complexidade'!$E$9,'07_Regras_Complexidade'!$E$10)))))))</x:f>
      </x:c>
      <x:c r="O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 t="str">
        <x:f>IF(B169="","",IF(OR(C169="Sem movimento",C169="Inativo",C169="Encerrado"),'07_Regras_Complexidade'!$E$5,IF(COUNT(J169:M169)&lt;4,'07_Regras_Complexidade'!$E$17,IF(SUM(J169:M169)&lt;='07_Regras_Complexidade'!$D$6,'07_Regras_Complexidade'!$E$6,IF(SUM(J169:M169)&lt;='07_Regras_Complexidade'!$D$7,'07_Regras_Complexidade'!$E$7,IF(SUM(J169:M169)&lt;='07_Regras_Complexidade'!$D$8,'07_Regras_Complexidade'!$E$8,IF(SUM(J169:M169)&lt;='07_Regras_Complexidade'!$D$9,'07_Regras_Complexidade'!$E$9,'07_Regras_Complexidade'!$E$10)))))))</x:f>
      </x:c>
      <x:c r="O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 t="str">
        <x:f>IF(B170="","",IF(OR(C170="Sem movimento",C170="Inativo",C170="Encerrado"),'07_Regras_Complexidade'!$E$5,IF(COUNT(J170:M170)&lt;4,'07_Regras_Complexidade'!$E$17,IF(SUM(J170:M170)&lt;='07_Regras_Complexidade'!$D$6,'07_Regras_Complexidade'!$E$6,IF(SUM(J170:M170)&lt;='07_Regras_Complexidade'!$D$7,'07_Regras_Complexidade'!$E$7,IF(SUM(J170:M170)&lt;='07_Regras_Complexidade'!$D$8,'07_Regras_Complexidade'!$E$8,IF(SUM(J170:M170)&lt;='07_Regras_Complexidade'!$D$9,'07_Regras_Complexidade'!$E$9,'07_Regras_Complexidade'!$E$10)))))))</x:f>
      </x:c>
      <x:c r="O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 t="str">
        <x:f>IF(B171="","",IF(OR(C171="Sem movimento",C171="Inativo",C171="Encerrado"),'07_Regras_Complexidade'!$E$5,IF(COUNT(J171:M171)&lt;4,'07_Regras_Complexidade'!$E$17,IF(SUM(J171:M171)&lt;='07_Regras_Complexidade'!$D$6,'07_Regras_Complexidade'!$E$6,IF(SUM(J171:M171)&lt;='07_Regras_Complexidade'!$D$7,'07_Regras_Complexidade'!$E$7,IF(SUM(J171:M171)&lt;='07_Regras_Complexidade'!$D$8,'07_Regras_Complexidade'!$E$8,IF(SUM(J171:M171)&lt;='07_Regras_Complexidade'!$D$9,'07_Regras_Complexidade'!$E$9,'07_Regras_Complexidade'!$E$10)))))))</x:f>
      </x:c>
      <x:c r="O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 t="str">
        <x:f>IF(B172="","",IF(OR(C172="Sem movimento",C172="Inativo",C172="Encerrado"),'07_Regras_Complexidade'!$E$5,IF(COUNT(J172:M172)&lt;4,'07_Regras_Complexidade'!$E$17,IF(SUM(J172:M172)&lt;='07_Regras_Complexidade'!$D$6,'07_Regras_Complexidade'!$E$6,IF(SUM(J172:M172)&lt;='07_Regras_Complexidade'!$D$7,'07_Regras_Complexidade'!$E$7,IF(SUM(J172:M172)&lt;='07_Regras_Complexidade'!$D$8,'07_Regras_Complexidade'!$E$8,IF(SUM(J172:M172)&lt;='07_Regras_Complexidade'!$D$9,'07_Regras_Complexidade'!$E$9,'07_Regras_Complexidade'!$E$10)))))))</x:f>
      </x:c>
      <x:c r="O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 t="str">
        <x:f>IF(B173="","",IF(OR(C173="Sem movimento",C173="Inativo",C173="Encerrado"),'07_Regras_Complexidade'!$E$5,IF(COUNT(J173:M173)&lt;4,'07_Regras_Complexidade'!$E$17,IF(SUM(J173:M173)&lt;='07_Regras_Complexidade'!$D$6,'07_Regras_Complexidade'!$E$6,IF(SUM(J173:M173)&lt;='07_Regras_Complexidade'!$D$7,'07_Regras_Complexidade'!$E$7,IF(SUM(J173:M173)&lt;='07_Regras_Complexidade'!$D$8,'07_Regras_Complexidade'!$E$8,IF(SUM(J173:M173)&lt;='07_Regras_Complexidade'!$D$9,'07_Regras_Complexidade'!$E$9,'07_Regras_Complexidade'!$E$10)))))))</x:f>
      </x:c>
      <x:c r="O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 t="str">
        <x:f>IF(B174="","",IF(OR(C174="Sem movimento",C174="Inativo",C174="Encerrado"),'07_Regras_Complexidade'!$E$5,IF(COUNT(J174:M174)&lt;4,'07_Regras_Complexidade'!$E$17,IF(SUM(J174:M174)&lt;='07_Regras_Complexidade'!$D$6,'07_Regras_Complexidade'!$E$6,IF(SUM(J174:M174)&lt;='07_Regras_Complexidade'!$D$7,'07_Regras_Complexidade'!$E$7,IF(SUM(J174:M174)&lt;='07_Regras_Complexidade'!$D$8,'07_Regras_Complexidade'!$E$8,IF(SUM(J174:M174)&lt;='07_Regras_Complexidade'!$D$9,'07_Regras_Complexidade'!$E$9,'07_Regras_Complexidade'!$E$10)))))))</x:f>
      </x:c>
      <x:c r="O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 t="str">
        <x:f>IF(B175="","",IF(OR(C175="Sem movimento",C175="Inativo",C175="Encerrado"),'07_Regras_Complexidade'!$E$5,IF(COUNT(J175:M175)&lt;4,'07_Regras_Complexidade'!$E$17,IF(SUM(J175:M175)&lt;='07_Regras_Complexidade'!$D$6,'07_Regras_Complexidade'!$E$6,IF(SUM(J175:M175)&lt;='07_Regras_Complexidade'!$D$7,'07_Regras_Complexidade'!$E$7,IF(SUM(J175:M175)&lt;='07_Regras_Complexidade'!$D$8,'07_Regras_Complexidade'!$E$8,IF(SUM(J175:M175)&lt;='07_Regras_Complexidade'!$D$9,'07_Regras_Complexidade'!$E$9,'07_Regras_Complexidade'!$E$10)))))))</x:f>
      </x:c>
      <x:c r="O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 t="str">
        <x:f>IF(B176="","",IF(OR(C176="Sem movimento",C176="Inativo",C176="Encerrado"),'07_Regras_Complexidade'!$E$5,IF(COUNT(J176:M176)&lt;4,'07_Regras_Complexidade'!$E$17,IF(SUM(J176:M176)&lt;='07_Regras_Complexidade'!$D$6,'07_Regras_Complexidade'!$E$6,IF(SUM(J176:M176)&lt;='07_Regras_Complexidade'!$D$7,'07_Regras_Complexidade'!$E$7,IF(SUM(J176:M176)&lt;='07_Regras_Complexidade'!$D$8,'07_Regras_Complexidade'!$E$8,IF(SUM(J176:M176)&lt;='07_Regras_Complexidade'!$D$9,'07_Regras_Complexidade'!$E$9,'07_Regras_Complexidade'!$E$10)))))))</x:f>
      </x:c>
      <x:c r="O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 t="str">
        <x:f>IF(B177="","",IF(OR(C177="Sem movimento",C177="Inativo",C177="Encerrado"),'07_Regras_Complexidade'!$E$5,IF(COUNT(J177:M177)&lt;4,'07_Regras_Complexidade'!$E$17,IF(SUM(J177:M177)&lt;='07_Regras_Complexidade'!$D$6,'07_Regras_Complexidade'!$E$6,IF(SUM(J177:M177)&lt;='07_Regras_Complexidade'!$D$7,'07_Regras_Complexidade'!$E$7,IF(SUM(J177:M177)&lt;='07_Regras_Complexidade'!$D$8,'07_Regras_Complexidade'!$E$8,IF(SUM(J177:M177)&lt;='07_Regras_Complexidade'!$D$9,'07_Regras_Complexidade'!$E$9,'07_Regras_Complexidade'!$E$10)))))))</x:f>
      </x:c>
      <x:c r="O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 t="str">
        <x:f>IF(B178="","",IF(OR(C178="Sem movimento",C178="Inativo",C178="Encerrado"),'07_Regras_Complexidade'!$E$5,IF(COUNT(J178:M178)&lt;4,'07_Regras_Complexidade'!$E$17,IF(SUM(J178:M178)&lt;='07_Regras_Complexidade'!$D$6,'07_Regras_Complexidade'!$E$6,IF(SUM(J178:M178)&lt;='07_Regras_Complexidade'!$D$7,'07_Regras_Complexidade'!$E$7,IF(SUM(J178:M178)&lt;='07_Regras_Complexidade'!$D$8,'07_Regras_Complexidade'!$E$8,IF(SUM(J178:M178)&lt;='07_Regras_Complexidade'!$D$9,'07_Regras_Complexidade'!$E$9,'07_Regras_Complexidade'!$E$10)))))))</x:f>
      </x:c>
      <x:c r="O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 t="str">
        <x:f>IF(B179="","",IF(OR(C179="Sem movimento",C179="Inativo",C179="Encerrado"),'07_Regras_Complexidade'!$E$5,IF(COUNT(J179:M179)&lt;4,'07_Regras_Complexidade'!$E$17,IF(SUM(J179:M179)&lt;='07_Regras_Complexidade'!$D$6,'07_Regras_Complexidade'!$E$6,IF(SUM(J179:M179)&lt;='07_Regras_Complexidade'!$D$7,'07_Regras_Complexidade'!$E$7,IF(SUM(J179:M179)&lt;='07_Regras_Complexidade'!$D$8,'07_Regras_Complexidade'!$E$8,IF(SUM(J179:M179)&lt;='07_Regras_Complexidade'!$D$9,'07_Regras_Complexidade'!$E$9,'07_Regras_Complexidade'!$E$10)))))))</x:f>
      </x:c>
      <x:c r="O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 t="str">
        <x:f>IF(B180="","",IF(OR(C180="Sem movimento",C180="Inativo",C180="Encerrado"),'07_Regras_Complexidade'!$E$5,IF(COUNT(J180:M180)&lt;4,'07_Regras_Complexidade'!$E$17,IF(SUM(J180:M180)&lt;='07_Regras_Complexidade'!$D$6,'07_Regras_Complexidade'!$E$6,IF(SUM(J180:M180)&lt;='07_Regras_Complexidade'!$D$7,'07_Regras_Complexidade'!$E$7,IF(SUM(J180:M180)&lt;='07_Regras_Complexidade'!$D$8,'07_Regras_Complexidade'!$E$8,IF(SUM(J180:M180)&lt;='07_Regras_Complexidade'!$D$9,'07_Regras_Complexidade'!$E$9,'07_Regras_Complexidade'!$E$10)))))))</x:f>
      </x:c>
      <x:c r="O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 t="str">
        <x:f>IF(B181="","",IF(OR(C181="Sem movimento",C181="Inativo",C181="Encerrado"),'07_Regras_Complexidade'!$E$5,IF(COUNT(J181:M181)&lt;4,'07_Regras_Complexidade'!$E$17,IF(SUM(J181:M181)&lt;='07_Regras_Complexidade'!$D$6,'07_Regras_Complexidade'!$E$6,IF(SUM(J181:M181)&lt;='07_Regras_Complexidade'!$D$7,'07_Regras_Complexidade'!$E$7,IF(SUM(J181:M181)&lt;='07_Regras_Complexidade'!$D$8,'07_Regras_Complexidade'!$E$8,IF(SUM(J181:M181)&lt;='07_Regras_Complexidade'!$D$9,'07_Regras_Complexidade'!$E$9,'07_Regras_Complexidade'!$E$10)))))))</x:f>
      </x:c>
      <x:c r="O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 t="str">
        <x:f>IF(B182="","",IF(OR(C182="Sem movimento",C182="Inativo",C182="Encerrado"),'07_Regras_Complexidade'!$E$5,IF(COUNT(J182:M182)&lt;4,'07_Regras_Complexidade'!$E$17,IF(SUM(J182:M182)&lt;='07_Regras_Complexidade'!$D$6,'07_Regras_Complexidade'!$E$6,IF(SUM(J182:M182)&lt;='07_Regras_Complexidade'!$D$7,'07_Regras_Complexidade'!$E$7,IF(SUM(J182:M182)&lt;='07_Regras_Complexidade'!$D$8,'07_Regras_Complexidade'!$E$8,IF(SUM(J182:M182)&lt;='07_Regras_Complexidade'!$D$9,'07_Regras_Complexidade'!$E$9,'07_Regras_Complexidade'!$E$10)))))))</x:f>
      </x:c>
      <x:c r="O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 t="str">
        <x:f>IF(B183="","",IF(OR(C183="Sem movimento",C183="Inativo",C183="Encerrado"),'07_Regras_Complexidade'!$E$5,IF(COUNT(J183:M183)&lt;4,'07_Regras_Complexidade'!$E$17,IF(SUM(J183:M183)&lt;='07_Regras_Complexidade'!$D$6,'07_Regras_Complexidade'!$E$6,IF(SUM(J183:M183)&lt;='07_Regras_Complexidade'!$D$7,'07_Regras_Complexidade'!$E$7,IF(SUM(J183:M183)&lt;='07_Regras_Complexidade'!$D$8,'07_Regras_Complexidade'!$E$8,IF(SUM(J183:M183)&lt;='07_Regras_Complexidade'!$D$9,'07_Regras_Complexidade'!$E$9,'07_Regras_Complexidade'!$E$10)))))))</x:f>
      </x:c>
      <x:c r="O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 t="str">
        <x:f>IF(B184="","",IF(OR(C184="Sem movimento",C184="Inativo",C184="Encerrado"),'07_Regras_Complexidade'!$E$5,IF(COUNT(J184:M184)&lt;4,'07_Regras_Complexidade'!$E$17,IF(SUM(J184:M184)&lt;='07_Regras_Complexidade'!$D$6,'07_Regras_Complexidade'!$E$6,IF(SUM(J184:M184)&lt;='07_Regras_Complexidade'!$D$7,'07_Regras_Complexidade'!$E$7,IF(SUM(J184:M184)&lt;='07_Regras_Complexidade'!$D$8,'07_Regras_Complexidade'!$E$8,IF(SUM(J184:M184)&lt;='07_Regras_Complexidade'!$D$9,'07_Regras_Complexidade'!$E$9,'07_Regras_Complexidade'!$E$10)))))))</x:f>
      </x:c>
      <x:c r="O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 t="str">
        <x:f>IF(B185="","",IF(OR(C185="Sem movimento",C185="Inativo",C185="Encerrado"),'07_Regras_Complexidade'!$E$5,IF(COUNT(J185:M185)&lt;4,'07_Regras_Complexidade'!$E$17,IF(SUM(J185:M185)&lt;='07_Regras_Complexidade'!$D$6,'07_Regras_Complexidade'!$E$6,IF(SUM(J185:M185)&lt;='07_Regras_Complexidade'!$D$7,'07_Regras_Complexidade'!$E$7,IF(SUM(J185:M185)&lt;='07_Regras_Complexidade'!$D$8,'07_Regras_Complexidade'!$E$8,IF(SUM(J185:M185)&lt;='07_Regras_Complexidade'!$D$9,'07_Regras_Complexidade'!$E$9,'07_Regras_Complexidade'!$E$10)))))))</x:f>
      </x:c>
      <x:c r="O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 t="str">
        <x:f>IF(B186="","",IF(OR(C186="Sem movimento",C186="Inativo",C186="Encerrado"),'07_Regras_Complexidade'!$E$5,IF(COUNT(J186:M186)&lt;4,'07_Regras_Complexidade'!$E$17,IF(SUM(J186:M186)&lt;='07_Regras_Complexidade'!$D$6,'07_Regras_Complexidade'!$E$6,IF(SUM(J186:M186)&lt;='07_Regras_Complexidade'!$D$7,'07_Regras_Complexidade'!$E$7,IF(SUM(J186:M186)&lt;='07_Regras_Complexidade'!$D$8,'07_Regras_Complexidade'!$E$8,IF(SUM(J186:M186)&lt;='07_Regras_Complexidade'!$D$9,'07_Regras_Complexidade'!$E$9,'07_Regras_Complexidade'!$E$10)))))))</x:f>
      </x:c>
      <x:c r="O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 t="str">
        <x:f>IF(B187="","",IF(OR(C187="Sem movimento",C187="Inativo",C187="Encerrado"),'07_Regras_Complexidade'!$E$5,IF(COUNT(J187:M187)&lt;4,'07_Regras_Complexidade'!$E$17,IF(SUM(J187:M187)&lt;='07_Regras_Complexidade'!$D$6,'07_Regras_Complexidade'!$E$6,IF(SUM(J187:M187)&lt;='07_Regras_Complexidade'!$D$7,'07_Regras_Complexidade'!$E$7,IF(SUM(J187:M187)&lt;='07_Regras_Complexidade'!$D$8,'07_Regras_Complexidade'!$E$8,IF(SUM(J187:M187)&lt;='07_Regras_Complexidade'!$D$9,'07_Regras_Complexidade'!$E$9,'07_Regras_Complexidade'!$E$10)))))))</x:f>
      </x:c>
      <x:c r="O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 t="str">
        <x:f>IF(B188="","",IF(OR(C188="Sem movimento",C188="Inativo",C188="Encerrado"),'07_Regras_Complexidade'!$E$5,IF(COUNT(J188:M188)&lt;4,'07_Regras_Complexidade'!$E$17,IF(SUM(J188:M188)&lt;='07_Regras_Complexidade'!$D$6,'07_Regras_Complexidade'!$E$6,IF(SUM(J188:M188)&lt;='07_Regras_Complexidade'!$D$7,'07_Regras_Complexidade'!$E$7,IF(SUM(J188:M188)&lt;='07_Regras_Complexidade'!$D$8,'07_Regras_Complexidade'!$E$8,IF(SUM(J188:M188)&lt;='07_Regras_Complexidade'!$D$9,'07_Regras_Complexidade'!$E$9,'07_Regras_Complexidade'!$E$10)))))))</x:f>
      </x:c>
      <x:c r="O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 t="str">
        <x:f>IF(B189="","",IF(OR(C189="Sem movimento",C189="Inativo",C189="Encerrado"),'07_Regras_Complexidade'!$E$5,IF(COUNT(J189:M189)&lt;4,'07_Regras_Complexidade'!$E$17,IF(SUM(J189:M189)&lt;='07_Regras_Complexidade'!$D$6,'07_Regras_Complexidade'!$E$6,IF(SUM(J189:M189)&lt;='07_Regras_Complexidade'!$D$7,'07_Regras_Complexidade'!$E$7,IF(SUM(J189:M189)&lt;='07_Regras_Complexidade'!$D$8,'07_Regras_Complexidade'!$E$8,IF(SUM(J189:M189)&lt;='07_Regras_Complexidade'!$D$9,'07_Regras_Complexidade'!$E$9,'07_Regras_Complexidade'!$E$10)))))))</x:f>
      </x:c>
      <x:c r="O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 t="str">
        <x:f>IF(B190="","",IF(OR(C190="Sem movimento",C190="Inativo",C190="Encerrado"),'07_Regras_Complexidade'!$E$5,IF(COUNT(J190:M190)&lt;4,'07_Regras_Complexidade'!$E$17,IF(SUM(J190:M190)&lt;='07_Regras_Complexidade'!$D$6,'07_Regras_Complexidade'!$E$6,IF(SUM(J190:M190)&lt;='07_Regras_Complexidade'!$D$7,'07_Regras_Complexidade'!$E$7,IF(SUM(J190:M190)&lt;='07_Regras_Complexidade'!$D$8,'07_Regras_Complexidade'!$E$8,IF(SUM(J190:M190)&lt;='07_Regras_Complexidade'!$D$9,'07_Regras_Complexidade'!$E$9,'07_Regras_Complexidade'!$E$10)))))))</x:f>
      </x:c>
      <x:c r="O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 t="str">
        <x:f>IF(B191="","",IF(OR(C191="Sem movimento",C191="Inativo",C191="Encerrado"),'07_Regras_Complexidade'!$E$5,IF(COUNT(J191:M191)&lt;4,'07_Regras_Complexidade'!$E$17,IF(SUM(J191:M191)&lt;='07_Regras_Complexidade'!$D$6,'07_Regras_Complexidade'!$E$6,IF(SUM(J191:M191)&lt;='07_Regras_Complexidade'!$D$7,'07_Regras_Complexidade'!$E$7,IF(SUM(J191:M191)&lt;='07_Regras_Complexidade'!$D$8,'07_Regras_Complexidade'!$E$8,IF(SUM(J191:M191)&lt;='07_Regras_Complexidade'!$D$9,'07_Regras_Complexidade'!$E$9,'07_Regras_Complexidade'!$E$10)))))))</x:f>
      </x:c>
      <x:c r="O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 t="str">
        <x:f>IF(B192="","",IF(OR(C192="Sem movimento",C192="Inativo",C192="Encerrado"),'07_Regras_Complexidade'!$E$5,IF(COUNT(J192:M192)&lt;4,'07_Regras_Complexidade'!$E$17,IF(SUM(J192:M192)&lt;='07_Regras_Complexidade'!$D$6,'07_Regras_Complexidade'!$E$6,IF(SUM(J192:M192)&lt;='07_Regras_Complexidade'!$D$7,'07_Regras_Complexidade'!$E$7,IF(SUM(J192:M192)&lt;='07_Regras_Complexidade'!$D$8,'07_Regras_Complexidade'!$E$8,IF(SUM(J192:M192)&lt;='07_Regras_Complexidade'!$D$9,'07_Regras_Complexidade'!$E$9,'07_Regras_Complexidade'!$E$10)))))))</x:f>
      </x:c>
      <x:c r="O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 t="str">
        <x:f>IF(B193="","",IF(OR(C193="Sem movimento",C193="Inativo",C193="Encerrado"),'07_Regras_Complexidade'!$E$5,IF(COUNT(J193:M193)&lt;4,'07_Regras_Complexidade'!$E$17,IF(SUM(J193:M193)&lt;='07_Regras_Complexidade'!$D$6,'07_Regras_Complexidade'!$E$6,IF(SUM(J193:M193)&lt;='07_Regras_Complexidade'!$D$7,'07_Regras_Complexidade'!$E$7,IF(SUM(J193:M193)&lt;='07_Regras_Complexidade'!$D$8,'07_Regras_Complexidade'!$E$8,IF(SUM(J193:M193)&lt;='07_Regras_Complexidade'!$D$9,'07_Regras_Complexidade'!$E$9,'07_Regras_Complexidade'!$E$10)))))))</x:f>
      </x:c>
      <x:c r="O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 t="str">
        <x:f>IF(B194="","",IF(OR(C194="Sem movimento",C194="Inativo",C194="Encerrado"),'07_Regras_Complexidade'!$E$5,IF(COUNT(J194:M194)&lt;4,'07_Regras_Complexidade'!$E$17,IF(SUM(J194:M194)&lt;='07_Regras_Complexidade'!$D$6,'07_Regras_Complexidade'!$E$6,IF(SUM(J194:M194)&lt;='07_Regras_Complexidade'!$D$7,'07_Regras_Complexidade'!$E$7,IF(SUM(J194:M194)&lt;='07_Regras_Complexidade'!$D$8,'07_Regras_Complexidade'!$E$8,IF(SUM(J194:M194)&lt;='07_Regras_Complexidade'!$D$9,'07_Regras_Complexidade'!$E$9,'07_Regras_Complexidade'!$E$10)))))))</x:f>
      </x:c>
      <x:c r="O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 t="str">
        <x:f>IF(B195="","",IF(OR(C195="Sem movimento",C195="Inativo",C195="Encerrado"),'07_Regras_Complexidade'!$E$5,IF(COUNT(J195:M195)&lt;4,'07_Regras_Complexidade'!$E$17,IF(SUM(J195:M195)&lt;='07_Regras_Complexidade'!$D$6,'07_Regras_Complexidade'!$E$6,IF(SUM(J195:M195)&lt;='07_Regras_Complexidade'!$D$7,'07_Regras_Complexidade'!$E$7,IF(SUM(J195:M195)&lt;='07_Regras_Complexidade'!$D$8,'07_Regras_Complexidade'!$E$8,IF(SUM(J195:M195)&lt;='07_Regras_Complexidade'!$D$9,'07_Regras_Complexidade'!$E$9,'07_Regras_Complexidade'!$E$10)))))))</x:f>
      </x:c>
      <x:c r="O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 t="str">
        <x:f>IF(B196="","",IF(OR(C196="Sem movimento",C196="Inativo",C196="Encerrado"),'07_Regras_Complexidade'!$E$5,IF(COUNT(J196:M196)&lt;4,'07_Regras_Complexidade'!$E$17,IF(SUM(J196:M196)&lt;='07_Regras_Complexidade'!$D$6,'07_Regras_Complexidade'!$E$6,IF(SUM(J196:M196)&lt;='07_Regras_Complexidade'!$D$7,'07_Regras_Complexidade'!$E$7,IF(SUM(J196:M196)&lt;='07_Regras_Complexidade'!$D$8,'07_Regras_Complexidade'!$E$8,IF(SUM(J196:M196)&lt;='07_Regras_Complexidade'!$D$9,'07_Regras_Complexidade'!$E$9,'07_Regras_Complexidade'!$E$10)))))))</x:f>
      </x:c>
      <x:c r="O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 t="str">
        <x:f>IF(B197="","",IF(OR(C197="Sem movimento",C197="Inativo",C197="Encerrado"),'07_Regras_Complexidade'!$E$5,IF(COUNT(J197:M197)&lt;4,'07_Regras_Complexidade'!$E$17,IF(SUM(J197:M197)&lt;='07_Regras_Complexidade'!$D$6,'07_Regras_Complexidade'!$E$6,IF(SUM(J197:M197)&lt;='07_Regras_Complexidade'!$D$7,'07_Regras_Complexidade'!$E$7,IF(SUM(J197:M197)&lt;='07_Regras_Complexidade'!$D$8,'07_Regras_Complexidade'!$E$8,IF(SUM(J197:M197)&lt;='07_Regras_Complexidade'!$D$9,'07_Regras_Complexidade'!$E$9,'07_Regras_Complexidade'!$E$10)))))))</x:f>
      </x:c>
      <x:c r="O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 t="str">
        <x:f>IF(B198="","",IF(OR(C198="Sem movimento",C198="Inativo",C198="Encerrado"),'07_Regras_Complexidade'!$E$5,IF(COUNT(J198:M198)&lt;4,'07_Regras_Complexidade'!$E$17,IF(SUM(J198:M198)&lt;='07_Regras_Complexidade'!$D$6,'07_Regras_Complexidade'!$E$6,IF(SUM(J198:M198)&lt;='07_Regras_Complexidade'!$D$7,'07_Regras_Complexidade'!$E$7,IF(SUM(J198:M198)&lt;='07_Regras_Complexidade'!$D$8,'07_Regras_Complexidade'!$E$8,IF(SUM(J198:M198)&lt;='07_Regras_Complexidade'!$D$9,'07_Regras_Complexidade'!$E$9,'07_Regras_Complexidade'!$E$10)))))))</x:f>
      </x:c>
      <x:c r="O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 t="str">
        <x:f>IF(B199="","",IF(OR(C199="Sem movimento",C199="Inativo",C199="Encerrado"),'07_Regras_Complexidade'!$E$5,IF(COUNT(J199:M199)&lt;4,'07_Regras_Complexidade'!$E$17,IF(SUM(J199:M199)&lt;='07_Regras_Complexidade'!$D$6,'07_Regras_Complexidade'!$E$6,IF(SUM(J199:M199)&lt;='07_Regras_Complexidade'!$D$7,'07_Regras_Complexidade'!$E$7,IF(SUM(J199:M199)&lt;='07_Regras_Complexidade'!$D$8,'07_Regras_Complexidade'!$E$8,IF(SUM(J199:M199)&lt;='07_Regras_Complexidade'!$D$9,'07_Regras_Complexidade'!$E$9,'07_Regras_Complexidade'!$E$10)))))))</x:f>
      </x:c>
      <x:c r="O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 t="str">
        <x:f>IF(B200="","",IF(OR(C200="Sem movimento",C200="Inativo",C200="Encerrado"),'07_Regras_Complexidade'!$E$5,IF(COUNT(J200:M200)&lt;4,'07_Regras_Complexidade'!$E$17,IF(SUM(J200:M200)&lt;='07_Regras_Complexidade'!$D$6,'07_Regras_Complexidade'!$E$6,IF(SUM(J200:M200)&lt;='07_Regras_Complexidade'!$D$7,'07_Regras_Complexidade'!$E$7,IF(SUM(J200:M200)&lt;='07_Regras_Complexidade'!$D$8,'07_Regras_Complexidade'!$E$8,IF(SUM(J200:M200)&lt;='07_Regras_Complexidade'!$D$9,'07_Regras_Complexidade'!$E$9,'07_Regras_Complexidade'!$E$10)))))))</x:f>
      </x:c>
      <x:c r="O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 t="str">
        <x:f>IF(B201="","",IF(OR(C201="Sem movimento",C201="Inativo",C201="Encerrado"),'07_Regras_Complexidade'!$E$5,IF(COUNT(J201:M201)&lt;4,'07_Regras_Complexidade'!$E$17,IF(SUM(J201:M201)&lt;='07_Regras_Complexidade'!$D$6,'07_Regras_Complexidade'!$E$6,IF(SUM(J201:M201)&lt;='07_Regras_Complexidade'!$D$7,'07_Regras_Complexidade'!$E$7,IF(SUM(J201:M201)&lt;='07_Regras_Complexidade'!$D$8,'07_Regras_Complexidade'!$E$8,IF(SUM(J201:M201)&lt;='07_Regras_Complexidade'!$D$9,'07_Regras_Complexidade'!$E$9,'07_Regras_Complexidade'!$E$10)))))))</x:f>
      </x:c>
      <x:c r="O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 t="str">
        <x:f>IF(B202="","",IF(OR(C202="Sem movimento",C202="Inativo",C202="Encerrado"),'07_Regras_Complexidade'!$E$5,IF(COUNT(J202:M202)&lt;4,'07_Regras_Complexidade'!$E$17,IF(SUM(J202:M202)&lt;='07_Regras_Complexidade'!$D$6,'07_Regras_Complexidade'!$E$6,IF(SUM(J202:M202)&lt;='07_Regras_Complexidade'!$D$7,'07_Regras_Complexidade'!$E$7,IF(SUM(J202:M202)&lt;='07_Regras_Complexidade'!$D$8,'07_Regras_Complexidade'!$E$8,IF(SUM(J202:M202)&lt;='07_Regras_Complexidade'!$D$9,'07_Regras_Complexidade'!$E$9,'07_Regras_Complexidade'!$E$10)))))))</x:f>
      </x:c>
      <x:c r="O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 t="str">
        <x:f>IF(B203="","",IF(OR(C203="Sem movimento",C203="Inativo",C203="Encerrado"),'07_Regras_Complexidade'!$E$5,IF(COUNT(J203:M203)&lt;4,'07_Regras_Complexidade'!$E$17,IF(SUM(J203:M203)&lt;='07_Regras_Complexidade'!$D$6,'07_Regras_Complexidade'!$E$6,IF(SUM(J203:M203)&lt;='07_Regras_Complexidade'!$D$7,'07_Regras_Complexidade'!$E$7,IF(SUM(J203:M203)&lt;='07_Regras_Complexidade'!$D$8,'07_Regras_Complexidade'!$E$8,IF(SUM(J203:M203)&lt;='07_Regras_Complexidade'!$D$9,'07_Regras_Complexidade'!$E$9,'07_Regras_Complexidade'!$E$10)))))))</x:f>
      </x:c>
      <x:c r="O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 t="str">
        <x:f>IF(B204="","",IF(OR(C204="Sem movimento",C204="Inativo",C204="Encerrado"),'07_Regras_Complexidade'!$E$5,IF(COUNT(J204:M204)&lt;4,'07_Regras_Complexidade'!$E$17,IF(SUM(J204:M204)&lt;='07_Regras_Complexidade'!$D$6,'07_Regras_Complexidade'!$E$6,IF(SUM(J204:M204)&lt;='07_Regras_Complexidade'!$D$7,'07_Regras_Complexidade'!$E$7,IF(SUM(J204:M204)&lt;='07_Regras_Complexidade'!$D$8,'07_Regras_Complexidade'!$E$8,IF(SUM(J204:M204)&lt;='07_Regras_Complexidade'!$D$9,'07_Regras_Complexidade'!$E$9,'07_Regras_Complexidade'!$E$10)))))))</x:f>
      </x:c>
      <x:c r="O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 t="str">
        <x:f>IF(B205="","",IF(OR(C205="Sem movimento",C205="Inativo",C205="Encerrado"),'07_Regras_Complexidade'!$E$5,IF(COUNT(J205:M205)&lt;4,'07_Regras_Complexidade'!$E$17,IF(SUM(J205:M205)&lt;='07_Regras_Complexidade'!$D$6,'07_Regras_Complexidade'!$E$6,IF(SUM(J205:M205)&lt;='07_Regras_Complexidade'!$D$7,'07_Regras_Complexidade'!$E$7,IF(SUM(J205:M205)&lt;='07_Regras_Complexidade'!$D$8,'07_Regras_Complexidade'!$E$8,IF(SUM(J205:M205)&lt;='07_Regras_Complexidade'!$D$9,'07_Regras_Complexidade'!$E$9,'07_Regras_Complexidade'!$E$10)))))))</x:f>
      </x:c>
      <x:c r="O205" s="2"/>
    </x:row>
  </x:sheetData>
  <x:mergeCells>
    <x:mergeCell ref="A1:O1"/>
    <x:mergeCell ref="A2:O2"/>
  </x:mergeCells>
  <x:dataValidations count="6">
    <x:dataValidation type="list" sqref="C5:C205">
      <x:formula1>"Ativo,Sem movimento,Inativo,Encerrado"</x:formula1>
    </x:dataValidation>
    <x:dataValidation type="list" sqref="J5:M205">
      <x:formula1>"1,2,3"</x:formula1>
    </x:dataValidation>
    <x:dataValidation type="list" allowBlank="1" showDropDown="0" sqref="F5:F205">
      <x:formula1>"MEI,Simples Nacional,Lucro Presumido,Lucro Real,Lucro Arbitrado,Imune,Isenta"</x:formula1>
    </x:dataValidation>
    <x:dataValidation type="list" sqref="G5:G205">
      <x:formula1>'05_Cadastros'!$B$12:$B$18</x:formula1>
    </x:dataValidation>
    <x:dataValidation type="list" sqref="H5:H205">
      <x:formula1>'05_Cadastros'!$B$19:$B$24</x:formula1>
    </x:dataValidation>
    <x:dataValidation type="list" sqref="I5:I205">
      <x:formula1>'05_Cadastros'!$B$25:$B$29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cda77cac424e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18" customWidth="1"/>
    <x:col min="3" max="7" width="24" customWidth="1"/>
    <x:col min="8" max="16" width="18" customWidth="1"/>
    <x:col min="1" max="1" width="12" hidden="0" customWidth="1"/>
    <x:col min="2" max="2" width="18" hidden="0" customWidth="1"/>
    <x:col min="3" max="3" width="16" hidden="0" customWidth="1"/>
    <x:col min="4" max="4" width="20" hidden="0" customWidth="1"/>
    <x:col min="5" max="5" width="20" hidden="0" customWidth="1"/>
    <x:col min="6" max="6" width="18" hidden="0" customWidth="1"/>
    <x:col min="7" max="7" width="22" hidden="0" customWidth="1"/>
    <x:col min="8" max="8" width="20" hidden="0" customWidth="1"/>
    <x:col min="9" max="9" width="18" hidden="0" customWidth="1"/>
    <x:col min="10" max="10" width="20" hidden="0" customWidth="1"/>
    <x:col min="11" max="11" width="20" hidden="0" customWidth="1"/>
    <x:col min="12" max="12" width="19" hidden="0" customWidth="1"/>
    <x:col min="13" max="13" width="12" hidden="0" customWidth="1"/>
    <x:col min="14" max="14" width="14" hidden="0" customWidth="1"/>
    <x:col min="15" max="15" width="13" hidden="0" customWidth="1"/>
    <x:col min="16" max="16" width="14" hidden="0" customWidth="1"/>
    <x:col min="17" max="17" width="17" hidden="0" customWidth="1"/>
    <x:col min="18" max="18" width="22" hidden="0" customWidth="1"/>
  </x:cols>
  <x:sheetData>
    <x:row r="1" ht="26" customHeight="1">
      <x:c r="A1" s="9" t="str">
        <x:v>03 — CONTÁBIL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 ht="24" customHeight="1">
      <x:c r="A2" s="12" t="str">
        <x:v>Uma linha por CNPJ/CPF ativo na frente e no ciclo. Classe calculada automaticamente.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4" ht="42" customHeight="1">
      <x:c r="A4" s="15" t="str">
        <x:v>Ciclo</x:v>
      </x:c>
      <x:c r="B4" s="15" t="str">
        <x:v>CNPJ/CPF</x:v>
      </x:c>
      <x:c r="C4" s="15" t="str">
        <x:v>Status da frente</x:v>
      </x:c>
      <x:c r="D4" s="15" t="str">
        <x:v>Responsável principal</x:v>
      </x:c>
      <x:c r="E4" s="15" t="str">
        <x:v>Responsável secundário</x:v>
      </x:c>
      <x:c r="F4" s="15" t="str">
        <x:v>Regime tributário</x:v>
      </x:c>
      <x:c r="G4" s="15" t="str">
        <x:v>Forma recebimento documentos</x:v>
      </x:c>
      <x:c r="H4" s="15" t="str">
        <x:v>Forma envio documentos</x:v>
      </x:c>
      <x:c r="I4" s="15" t="str">
        <x:v>Forma integração</x:v>
      </x:c>
      <x:c r="J4" s="15" t="str">
        <x:v>Forma de lançamento</x:v>
      </x:c>
      <x:c r="K4" s="15" t="str">
        <x:v>Periodicidade de Fechamento</x:v>
      </x:c>
      <x:c r="L4" s="15" t="str">
        <x:v>Último Mês de Conciliação</x:v>
      </x:c>
      <x:c r="M4" s="15" t="str">
        <x:v>Nota Volume</x:v>
      </x:c>
      <x:c r="N4" s="15" t="str">
        <x:v>Nota Atendimento</x:v>
      </x:c>
      <x:c r="O4" s="15" t="str">
        <x:v>Nota Tributação</x:v>
      </x:c>
      <x:c r="P4" s="15" t="str">
        <x:v>Nota Organização</x:v>
      </x:c>
      <x:c r="Q4" s="15" t="str">
        <x:v>Complexidade calculada</x:v>
      </x:c>
      <x:c r="R4" s="15" t="str">
        <x:v>Observações</x:v>
      </x:c>
    </x:row>
    <x:row r="5" ht="27.600000381469727">
      <x:c r="A5" t="str">
        <x:v>2026-08</x:v>
      </x:c>
      <x:c r="B5" t="str">
        <x:v>12.345.678/0001-90</x:v>
      </x:c>
      <x:c r="C5" t="str">
        <x:v>Ativo</x:v>
      </x:c>
      <x:c r="D5" t="str">
        <x:v>Bruno Lima</x:v>
      </x:c>
      <x:c r="E5"/>
      <x:c r="F5" t="str">
        <x:v>Lucro Presumido</x:v>
      </x:c>
      <x:c r="G5" t="str">
        <x:v>Portal</x:v>
      </x:c>
      <x:c r="H5" t="str">
        <x:v>Portal</x:v>
      </x:c>
      <x:c r="I5" t="str">
        <x:v>Automática/API</x:v>
      </x:c>
      <x:c r="J5" t="str">
        <x:v>Importação de arquivo</x:v>
      </x:c>
      <x:c r="K5" t="str">
        <x:v>Mensal</x:v>
      </x:c>
      <x:c r="L5" s="14" t="str">
        <x:v>2026-07</x:v>
      </x:c>
      <x:c r="M5" t="n">
        <x:v>2</x:v>
      </x:c>
      <x:c r="N5" t="n">
        <x:v>2</x:v>
      </x:c>
      <x:c r="O5" t="n">
        <x:v>2</x:v>
      </x:c>
      <x:c r="P5" t="n">
        <x:v>1</x:v>
      </x:c>
      <x:c r="Q5" s="13" t="str">
        <x:f>IF(B5="","",IF(OR(C5="Sem movimento",C5="Inativo",C5="Encerrado"),'07_Regras_Complexidade'!$E$5,IF(COUNT(M5:P5)&lt;4,'07_Regras_Complexidade'!$E$17,IF(SUM(M5:P5)&lt;='07_Regras_Complexidade'!$D$6,'07_Regras_Complexidade'!$E$6,IF(SUM(M5:P5)&lt;='07_Regras_Complexidade'!$D$7,'07_Regras_Complexidade'!$E$7,IF(SUM(M5:P5)&lt;='07_Regras_Complexidade'!$D$8,'07_Regras_Complexidade'!$E$8,IF(SUM(M5:P5)&lt;='07_Regras_Complexidade'!$D$9,'07_Regras_Complexidade'!$E$9,'07_Regras_Complexidade'!$E$10)))))))</x:f>
        <x:v>C2</x:v>
      </x:c>
      <x:c r="R5" t="str">
        <x:v>Exemplo</x:v>
      </x:c>
    </x:row>
    <x:row r="6">
      <x:c r="A6"/>
      <x:c r="B6"/>
      <x:c r="C6"/>
      <x:c r="D6"/>
      <x:c r="E6"/>
      <x:c r="F6"/>
      <x:c r="G6"/>
      <x:c r="H6"/>
      <x:c r="I6"/>
      <x:c r="J6"/>
      <x:c r="K6"/>
      <x:c r="L6" s="14"/>
      <x:c r="M6"/>
      <x:c r="N6"/>
      <x:c r="O6"/>
      <x:c r="P6"/>
      <x:c r="Q6" s="13" t="str">
        <x:f>IF(B6="","",IF(OR(C6="Sem movimento",C6="Inativo",C6="Encerrado"),'07_Regras_Complexidade'!$E$5,IF(COUNT(M6:P6)&lt;4,'07_Regras_Complexidade'!$E$17,IF(SUM(M6:P6)&lt;='07_Regras_Complexidade'!$D$6,'07_Regras_Complexidade'!$E$6,IF(SUM(M6:P6)&lt;='07_Regras_Complexidade'!$D$7,'07_Regras_Complexidade'!$E$7,IF(SUM(M6:P6)&lt;='07_Regras_Complexidade'!$D$8,'07_Regras_Complexidade'!$E$8,IF(SUM(M6:P6)&lt;='07_Regras_Complexidade'!$D$9,'07_Regras_Complexidade'!$E$9,'07_Regras_Complexidade'!$E$10)))))))</x:f>
      </x:c>
      <x:c r="R6"/>
    </x:row>
    <x:row r="7">
      <x:c r="A7"/>
      <x:c r="B7"/>
      <x:c r="C7"/>
      <x:c r="D7"/>
      <x:c r="E7"/>
      <x:c r="F7"/>
      <x:c r="G7"/>
      <x:c r="H7"/>
      <x:c r="I7"/>
      <x:c r="J7"/>
      <x:c r="K7"/>
      <x:c r="L7" s="14"/>
      <x:c r="M7"/>
      <x:c r="N7"/>
      <x:c r="O7"/>
      <x:c r="P7"/>
      <x:c r="Q7" s="13" t="str">
        <x:f>IF(B7="","",IF(OR(C7="Sem movimento",C7="Inativo",C7="Encerrado"),'07_Regras_Complexidade'!$E$5,IF(COUNT(M7:P7)&lt;4,'07_Regras_Complexidade'!$E$17,IF(SUM(M7:P7)&lt;='07_Regras_Complexidade'!$D$6,'07_Regras_Complexidade'!$E$6,IF(SUM(M7:P7)&lt;='07_Regras_Complexidade'!$D$7,'07_Regras_Complexidade'!$E$7,IF(SUM(M7:P7)&lt;='07_Regras_Complexidade'!$D$8,'07_Regras_Complexidade'!$E$8,IF(SUM(M7:P7)&lt;='07_Regras_Complexidade'!$D$9,'07_Regras_Complexidade'!$E$9,'07_Regras_Complexidade'!$E$10)))))))</x:f>
      </x:c>
      <x:c r="R7"/>
    </x:row>
    <x:row r="8">
      <x:c r="A8"/>
      <x:c r="B8"/>
      <x:c r="C8"/>
      <x:c r="D8"/>
      <x:c r="E8"/>
      <x:c r="F8"/>
      <x:c r="G8"/>
      <x:c r="H8"/>
      <x:c r="I8"/>
      <x:c r="J8"/>
      <x:c r="K8"/>
      <x:c r="L8" s="14"/>
      <x:c r="M8"/>
      <x:c r="N8"/>
      <x:c r="O8"/>
      <x:c r="P8"/>
      <x:c r="Q8" s="13" t="str">
        <x:f>IF(B8="","",IF(OR(C8="Sem movimento",C8="Inativo",C8="Encerrado"),'07_Regras_Complexidade'!$E$5,IF(COUNT(M8:P8)&lt;4,'07_Regras_Complexidade'!$E$17,IF(SUM(M8:P8)&lt;='07_Regras_Complexidade'!$D$6,'07_Regras_Complexidade'!$E$6,IF(SUM(M8:P8)&lt;='07_Regras_Complexidade'!$D$7,'07_Regras_Complexidade'!$E$7,IF(SUM(M8:P8)&lt;='07_Regras_Complexidade'!$D$8,'07_Regras_Complexidade'!$E$8,IF(SUM(M8:P8)&lt;='07_Regras_Complexidade'!$D$9,'07_Regras_Complexidade'!$E$9,'07_Regras_Complexidade'!$E$10)))))))</x:f>
      </x:c>
      <x:c r="R8"/>
    </x:row>
    <x:row r="9">
      <x:c r="A9"/>
      <x:c r="B9"/>
      <x:c r="C9"/>
      <x:c r="D9"/>
      <x:c r="E9"/>
      <x:c r="F9"/>
      <x:c r="G9"/>
      <x:c r="H9"/>
      <x:c r="I9"/>
      <x:c r="J9"/>
      <x:c r="K9"/>
      <x:c r="L9" s="14"/>
      <x:c r="M9"/>
      <x:c r="N9"/>
      <x:c r="O9"/>
      <x:c r="P9"/>
      <x:c r="Q9" s="13" t="str">
        <x:f>IF(B9="","",IF(OR(C9="Sem movimento",C9="Inativo",C9="Encerrado"),'07_Regras_Complexidade'!$E$5,IF(COUNT(M9:P9)&lt;4,'07_Regras_Complexidade'!$E$17,IF(SUM(M9:P9)&lt;='07_Regras_Complexidade'!$D$6,'07_Regras_Complexidade'!$E$6,IF(SUM(M9:P9)&lt;='07_Regras_Complexidade'!$D$7,'07_Regras_Complexidade'!$E$7,IF(SUM(M9:P9)&lt;='07_Regras_Complexidade'!$D$8,'07_Regras_Complexidade'!$E$8,IF(SUM(M9:P9)&lt;='07_Regras_Complexidade'!$D$9,'07_Regras_Complexidade'!$E$9,'07_Regras_Complexidade'!$E$10)))))))</x:f>
      </x:c>
      <x:c r="R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 s="14"/>
      <x:c r="M10"/>
      <x:c r="N10"/>
      <x:c r="O10"/>
      <x:c r="P10"/>
      <x:c r="Q10" s="13" t="str">
        <x:f>IF(B10="","",IF(OR(C10="Sem movimento",C10="Inativo",C10="Encerrado"),'07_Regras_Complexidade'!$E$5,IF(COUNT(M10:P10)&lt;4,'07_Regras_Complexidade'!$E$17,IF(SUM(M10:P10)&lt;='07_Regras_Complexidade'!$D$6,'07_Regras_Complexidade'!$E$6,IF(SUM(M10:P10)&lt;='07_Regras_Complexidade'!$D$7,'07_Regras_Complexidade'!$E$7,IF(SUM(M10:P10)&lt;='07_Regras_Complexidade'!$D$8,'07_Regras_Complexidade'!$E$8,IF(SUM(M10:P10)&lt;='07_Regras_Complexidade'!$D$9,'07_Regras_Complexidade'!$E$9,'07_Regras_Complexidade'!$E$10)))))))</x:f>
      </x:c>
      <x:c r="R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 s="14"/>
      <x:c r="M11"/>
      <x:c r="N11"/>
      <x:c r="O11"/>
      <x:c r="P11"/>
      <x:c r="Q11" s="13" t="str">
        <x:f>IF(B11="","",IF(OR(C11="Sem movimento",C11="Inativo",C11="Encerrado"),'07_Regras_Complexidade'!$E$5,IF(COUNT(M11:P11)&lt;4,'07_Regras_Complexidade'!$E$17,IF(SUM(M11:P11)&lt;='07_Regras_Complexidade'!$D$6,'07_Regras_Complexidade'!$E$6,IF(SUM(M11:P11)&lt;='07_Regras_Complexidade'!$D$7,'07_Regras_Complexidade'!$E$7,IF(SUM(M11:P11)&lt;='07_Regras_Complexidade'!$D$8,'07_Regras_Complexidade'!$E$8,IF(SUM(M11:P11)&lt;='07_Regras_Complexidade'!$D$9,'07_Regras_Complexidade'!$E$9,'07_Regras_Complexidade'!$E$10)))))))</x:f>
      </x:c>
      <x:c r="R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 s="14"/>
      <x:c r="M12"/>
      <x:c r="N12"/>
      <x:c r="O12"/>
      <x:c r="P12"/>
      <x:c r="Q12" s="13" t="str">
        <x:f>IF(B12="","",IF(OR(C12="Sem movimento",C12="Inativo",C12="Encerrado"),'07_Regras_Complexidade'!$E$5,IF(COUNT(M12:P12)&lt;4,'07_Regras_Complexidade'!$E$17,IF(SUM(M12:P12)&lt;='07_Regras_Complexidade'!$D$6,'07_Regras_Complexidade'!$E$6,IF(SUM(M12:P12)&lt;='07_Regras_Complexidade'!$D$7,'07_Regras_Complexidade'!$E$7,IF(SUM(M12:P12)&lt;='07_Regras_Complexidade'!$D$8,'07_Regras_Complexidade'!$E$8,IF(SUM(M12:P12)&lt;='07_Regras_Complexidade'!$D$9,'07_Regras_Complexidade'!$E$9,'07_Regras_Complexidade'!$E$10)))))))</x:f>
      </x:c>
      <x:c r="R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 s="14"/>
      <x:c r="M13"/>
      <x:c r="N13"/>
      <x:c r="O13"/>
      <x:c r="P13"/>
      <x:c r="Q13" s="13" t="str">
        <x:f>IF(B13="","",IF(OR(C13="Sem movimento",C13="Inativo",C13="Encerrado"),'07_Regras_Complexidade'!$E$5,IF(COUNT(M13:P13)&lt;4,'07_Regras_Complexidade'!$E$17,IF(SUM(M13:P13)&lt;='07_Regras_Complexidade'!$D$6,'07_Regras_Complexidade'!$E$6,IF(SUM(M13:P13)&lt;='07_Regras_Complexidade'!$D$7,'07_Regras_Complexidade'!$E$7,IF(SUM(M13:P13)&lt;='07_Regras_Complexidade'!$D$8,'07_Regras_Complexidade'!$E$8,IF(SUM(M13:P13)&lt;='07_Regras_Complexidade'!$D$9,'07_Regras_Complexidade'!$E$9,'07_Regras_Complexidade'!$E$10)))))))</x:f>
      </x:c>
      <x:c r="R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 s="14"/>
      <x:c r="M14"/>
      <x:c r="N14"/>
      <x:c r="O14"/>
      <x:c r="P14"/>
      <x:c r="Q14" s="13" t="str">
        <x:f>IF(B14="","",IF(OR(C14="Sem movimento",C14="Inativo",C14="Encerrado"),'07_Regras_Complexidade'!$E$5,IF(COUNT(M14:P14)&lt;4,'07_Regras_Complexidade'!$E$17,IF(SUM(M14:P14)&lt;='07_Regras_Complexidade'!$D$6,'07_Regras_Complexidade'!$E$6,IF(SUM(M14:P14)&lt;='07_Regras_Complexidade'!$D$7,'07_Regras_Complexidade'!$E$7,IF(SUM(M14:P14)&lt;='07_Regras_Complexidade'!$D$8,'07_Regras_Complexidade'!$E$8,IF(SUM(M14:P14)&lt;='07_Regras_Complexidade'!$D$9,'07_Regras_Complexidade'!$E$9,'07_Regras_Complexidade'!$E$10)))))))</x:f>
      </x:c>
      <x:c r="R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 s="14"/>
      <x:c r="M15"/>
      <x:c r="N15"/>
      <x:c r="O15"/>
      <x:c r="P15"/>
      <x:c r="Q15" s="13" t="str">
        <x:f>IF(B15="","",IF(OR(C15="Sem movimento",C15="Inativo",C15="Encerrado"),'07_Regras_Complexidade'!$E$5,IF(COUNT(M15:P15)&lt;4,'07_Regras_Complexidade'!$E$17,IF(SUM(M15:P15)&lt;='07_Regras_Complexidade'!$D$6,'07_Regras_Complexidade'!$E$6,IF(SUM(M15:P15)&lt;='07_Regras_Complexidade'!$D$7,'07_Regras_Complexidade'!$E$7,IF(SUM(M15:P15)&lt;='07_Regras_Complexidade'!$D$8,'07_Regras_Complexidade'!$E$8,IF(SUM(M15:P15)&lt;='07_Regras_Complexidade'!$D$9,'07_Regras_Complexidade'!$E$9,'07_Regras_Complexidade'!$E$10)))))))</x:f>
      </x:c>
      <x:c r="R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 s="14"/>
      <x:c r="M16"/>
      <x:c r="N16"/>
      <x:c r="O16"/>
      <x:c r="P16"/>
      <x:c r="Q16" s="13" t="str">
        <x:f>IF(B16="","",IF(OR(C16="Sem movimento",C16="Inativo",C16="Encerrado"),'07_Regras_Complexidade'!$E$5,IF(COUNT(M16:P16)&lt;4,'07_Regras_Complexidade'!$E$17,IF(SUM(M16:P16)&lt;='07_Regras_Complexidade'!$D$6,'07_Regras_Complexidade'!$E$6,IF(SUM(M16:P16)&lt;='07_Regras_Complexidade'!$D$7,'07_Regras_Complexidade'!$E$7,IF(SUM(M16:P16)&lt;='07_Regras_Complexidade'!$D$8,'07_Regras_Complexidade'!$E$8,IF(SUM(M16:P16)&lt;='07_Regras_Complexidade'!$D$9,'07_Regras_Complexidade'!$E$9,'07_Regras_Complexidade'!$E$10)))))))</x:f>
      </x:c>
      <x:c r="R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 s="14"/>
      <x:c r="M17"/>
      <x:c r="N17"/>
      <x:c r="O17"/>
      <x:c r="P17"/>
      <x:c r="Q17" s="13" t="str">
        <x:f>IF(B17="","",IF(OR(C17="Sem movimento",C17="Inativo",C17="Encerrado"),'07_Regras_Complexidade'!$E$5,IF(COUNT(M17:P17)&lt;4,'07_Regras_Complexidade'!$E$17,IF(SUM(M17:P17)&lt;='07_Regras_Complexidade'!$D$6,'07_Regras_Complexidade'!$E$6,IF(SUM(M17:P17)&lt;='07_Regras_Complexidade'!$D$7,'07_Regras_Complexidade'!$E$7,IF(SUM(M17:P17)&lt;='07_Regras_Complexidade'!$D$8,'07_Regras_Complexidade'!$E$8,IF(SUM(M17:P17)&lt;='07_Regras_Complexidade'!$D$9,'07_Regras_Complexidade'!$E$9,'07_Regras_Complexidade'!$E$10)))))))</x:f>
      </x:c>
      <x:c r="R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 s="14"/>
      <x:c r="M18"/>
      <x:c r="N18"/>
      <x:c r="O18"/>
      <x:c r="P18"/>
      <x:c r="Q18" s="13" t="str">
        <x:f>IF(B18="","",IF(OR(C18="Sem movimento",C18="Inativo",C18="Encerrado"),'07_Regras_Complexidade'!$E$5,IF(COUNT(M18:P18)&lt;4,'07_Regras_Complexidade'!$E$17,IF(SUM(M18:P18)&lt;='07_Regras_Complexidade'!$D$6,'07_Regras_Complexidade'!$E$6,IF(SUM(M18:P18)&lt;='07_Regras_Complexidade'!$D$7,'07_Regras_Complexidade'!$E$7,IF(SUM(M18:P18)&lt;='07_Regras_Complexidade'!$D$8,'07_Regras_Complexidade'!$E$8,IF(SUM(M18:P18)&lt;='07_Regras_Complexidade'!$D$9,'07_Regras_Complexidade'!$E$9,'07_Regras_Complexidade'!$E$10)))))))</x:f>
      </x:c>
      <x:c r="R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 s="14"/>
      <x:c r="M19"/>
      <x:c r="N19"/>
      <x:c r="O19"/>
      <x:c r="P19"/>
      <x:c r="Q19" s="13" t="str">
        <x:f>IF(B19="","",IF(OR(C19="Sem movimento",C19="Inativo",C19="Encerrado"),'07_Regras_Complexidade'!$E$5,IF(COUNT(M19:P19)&lt;4,'07_Regras_Complexidade'!$E$17,IF(SUM(M19:P19)&lt;='07_Regras_Complexidade'!$D$6,'07_Regras_Complexidade'!$E$6,IF(SUM(M19:P19)&lt;='07_Regras_Complexidade'!$D$7,'07_Regras_Complexidade'!$E$7,IF(SUM(M19:P19)&lt;='07_Regras_Complexidade'!$D$8,'07_Regras_Complexidade'!$E$8,IF(SUM(M19:P19)&lt;='07_Regras_Complexidade'!$D$9,'07_Regras_Complexidade'!$E$9,'07_Regras_Complexidade'!$E$10)))))))</x:f>
      </x:c>
      <x:c r="R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 s="14"/>
      <x:c r="M20"/>
      <x:c r="N20"/>
      <x:c r="O20"/>
      <x:c r="P20"/>
      <x:c r="Q20" s="13" t="str">
        <x:f>IF(B20="","",IF(OR(C20="Sem movimento",C20="Inativo",C20="Encerrado"),'07_Regras_Complexidade'!$E$5,IF(COUNT(M20:P20)&lt;4,'07_Regras_Complexidade'!$E$17,IF(SUM(M20:P20)&lt;='07_Regras_Complexidade'!$D$6,'07_Regras_Complexidade'!$E$6,IF(SUM(M20:P20)&lt;='07_Regras_Complexidade'!$D$7,'07_Regras_Complexidade'!$E$7,IF(SUM(M20:P20)&lt;='07_Regras_Complexidade'!$D$8,'07_Regras_Complexidade'!$E$8,IF(SUM(M20:P20)&lt;='07_Regras_Complexidade'!$D$9,'07_Regras_Complexidade'!$E$9,'07_Regras_Complexidade'!$E$10)))))))</x:f>
      </x:c>
      <x:c r="R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 s="14"/>
      <x:c r="M21"/>
      <x:c r="N21"/>
      <x:c r="O21"/>
      <x:c r="P21"/>
      <x:c r="Q21" s="13" t="str">
        <x:f>IF(B21="","",IF(OR(C21="Sem movimento",C21="Inativo",C21="Encerrado"),'07_Regras_Complexidade'!$E$5,IF(COUNT(M21:P21)&lt;4,'07_Regras_Complexidade'!$E$17,IF(SUM(M21:P21)&lt;='07_Regras_Complexidade'!$D$6,'07_Regras_Complexidade'!$E$6,IF(SUM(M21:P21)&lt;='07_Regras_Complexidade'!$D$7,'07_Regras_Complexidade'!$E$7,IF(SUM(M21:P21)&lt;='07_Regras_Complexidade'!$D$8,'07_Regras_Complexidade'!$E$8,IF(SUM(M21:P21)&lt;='07_Regras_Complexidade'!$D$9,'07_Regras_Complexidade'!$E$9,'07_Regras_Complexidade'!$E$10)))))))</x:f>
      </x:c>
      <x:c r="R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 s="14"/>
      <x:c r="M22"/>
      <x:c r="N22"/>
      <x:c r="O22"/>
      <x:c r="P22"/>
      <x:c r="Q22" s="13" t="str">
        <x:f>IF(B22="","",IF(OR(C22="Sem movimento",C22="Inativo",C22="Encerrado"),'07_Regras_Complexidade'!$E$5,IF(COUNT(M22:P22)&lt;4,'07_Regras_Complexidade'!$E$17,IF(SUM(M22:P22)&lt;='07_Regras_Complexidade'!$D$6,'07_Regras_Complexidade'!$E$6,IF(SUM(M22:P22)&lt;='07_Regras_Complexidade'!$D$7,'07_Regras_Complexidade'!$E$7,IF(SUM(M22:P22)&lt;='07_Regras_Complexidade'!$D$8,'07_Regras_Complexidade'!$E$8,IF(SUM(M22:P22)&lt;='07_Regras_Complexidade'!$D$9,'07_Regras_Complexidade'!$E$9,'07_Regras_Complexidade'!$E$10)))))))</x:f>
      </x:c>
      <x:c r="R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 s="14"/>
      <x:c r="M23"/>
      <x:c r="N23"/>
      <x:c r="O23"/>
      <x:c r="P23"/>
      <x:c r="Q23" s="13" t="str">
        <x:f>IF(B23="","",IF(OR(C23="Sem movimento",C23="Inativo",C23="Encerrado"),'07_Regras_Complexidade'!$E$5,IF(COUNT(M23:P23)&lt;4,'07_Regras_Complexidade'!$E$17,IF(SUM(M23:P23)&lt;='07_Regras_Complexidade'!$D$6,'07_Regras_Complexidade'!$E$6,IF(SUM(M23:P23)&lt;='07_Regras_Complexidade'!$D$7,'07_Regras_Complexidade'!$E$7,IF(SUM(M23:P23)&lt;='07_Regras_Complexidade'!$D$8,'07_Regras_Complexidade'!$E$8,IF(SUM(M23:P23)&lt;='07_Regras_Complexidade'!$D$9,'07_Regras_Complexidade'!$E$9,'07_Regras_Complexidade'!$E$10)))))))</x:f>
      </x:c>
      <x:c r="R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 s="14"/>
      <x:c r="M24"/>
      <x:c r="N24"/>
      <x:c r="O24"/>
      <x:c r="P24"/>
      <x:c r="Q24" s="13" t="str">
        <x:f>IF(B24="","",IF(OR(C24="Sem movimento",C24="Inativo",C24="Encerrado"),'07_Regras_Complexidade'!$E$5,IF(COUNT(M24:P24)&lt;4,'07_Regras_Complexidade'!$E$17,IF(SUM(M24:P24)&lt;='07_Regras_Complexidade'!$D$6,'07_Regras_Complexidade'!$E$6,IF(SUM(M24:P24)&lt;='07_Regras_Complexidade'!$D$7,'07_Regras_Complexidade'!$E$7,IF(SUM(M24:P24)&lt;='07_Regras_Complexidade'!$D$8,'07_Regras_Complexidade'!$E$8,IF(SUM(M24:P24)&lt;='07_Regras_Complexidade'!$D$9,'07_Regras_Complexidade'!$E$9,'07_Regras_Complexidade'!$E$10)))))))</x:f>
      </x:c>
      <x:c r="R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 s="14"/>
      <x:c r="M25"/>
      <x:c r="N25"/>
      <x:c r="O25"/>
      <x:c r="P25"/>
      <x:c r="Q25" s="13" t="str">
        <x:f>IF(B25="","",IF(OR(C25="Sem movimento",C25="Inativo",C25="Encerrado"),'07_Regras_Complexidade'!$E$5,IF(COUNT(M25:P25)&lt;4,'07_Regras_Complexidade'!$E$17,IF(SUM(M25:P25)&lt;='07_Regras_Complexidade'!$D$6,'07_Regras_Complexidade'!$E$6,IF(SUM(M25:P25)&lt;='07_Regras_Complexidade'!$D$7,'07_Regras_Complexidade'!$E$7,IF(SUM(M25:P25)&lt;='07_Regras_Complexidade'!$D$8,'07_Regras_Complexidade'!$E$8,IF(SUM(M25:P25)&lt;='07_Regras_Complexidade'!$D$9,'07_Regras_Complexidade'!$E$9,'07_Regras_Complexidade'!$E$10)))))))</x:f>
      </x:c>
      <x:c r="R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 s="14"/>
      <x:c r="M26"/>
      <x:c r="N26"/>
      <x:c r="O26"/>
      <x:c r="P26"/>
      <x:c r="Q26" s="13" t="str">
        <x:f>IF(B26="","",IF(OR(C26="Sem movimento",C26="Inativo",C26="Encerrado"),'07_Regras_Complexidade'!$E$5,IF(COUNT(M26:P26)&lt;4,'07_Regras_Complexidade'!$E$17,IF(SUM(M26:P26)&lt;='07_Regras_Complexidade'!$D$6,'07_Regras_Complexidade'!$E$6,IF(SUM(M26:P26)&lt;='07_Regras_Complexidade'!$D$7,'07_Regras_Complexidade'!$E$7,IF(SUM(M26:P26)&lt;='07_Regras_Complexidade'!$D$8,'07_Regras_Complexidade'!$E$8,IF(SUM(M26:P26)&lt;='07_Regras_Complexidade'!$D$9,'07_Regras_Complexidade'!$E$9,'07_Regras_Complexidade'!$E$10)))))))</x:f>
      </x:c>
      <x:c r="R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 s="14"/>
      <x:c r="M27"/>
      <x:c r="N27"/>
      <x:c r="O27"/>
      <x:c r="P27"/>
      <x:c r="Q27" s="13" t="str">
        <x:f>IF(B27="","",IF(OR(C27="Sem movimento",C27="Inativo",C27="Encerrado"),'07_Regras_Complexidade'!$E$5,IF(COUNT(M27:P27)&lt;4,'07_Regras_Complexidade'!$E$17,IF(SUM(M27:P27)&lt;='07_Regras_Complexidade'!$D$6,'07_Regras_Complexidade'!$E$6,IF(SUM(M27:P27)&lt;='07_Regras_Complexidade'!$D$7,'07_Regras_Complexidade'!$E$7,IF(SUM(M27:P27)&lt;='07_Regras_Complexidade'!$D$8,'07_Regras_Complexidade'!$E$8,IF(SUM(M27:P27)&lt;='07_Regras_Complexidade'!$D$9,'07_Regras_Complexidade'!$E$9,'07_Regras_Complexidade'!$E$10)))))))</x:f>
      </x:c>
      <x:c r="R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 s="14"/>
      <x:c r="M28"/>
      <x:c r="N28"/>
      <x:c r="O28"/>
      <x:c r="P28"/>
      <x:c r="Q28" s="13" t="str">
        <x:f>IF(B28="","",IF(OR(C28="Sem movimento",C28="Inativo",C28="Encerrado"),'07_Regras_Complexidade'!$E$5,IF(COUNT(M28:P28)&lt;4,'07_Regras_Complexidade'!$E$17,IF(SUM(M28:P28)&lt;='07_Regras_Complexidade'!$D$6,'07_Regras_Complexidade'!$E$6,IF(SUM(M28:P28)&lt;='07_Regras_Complexidade'!$D$7,'07_Regras_Complexidade'!$E$7,IF(SUM(M28:P28)&lt;='07_Regras_Complexidade'!$D$8,'07_Regras_Complexidade'!$E$8,IF(SUM(M28:P28)&lt;='07_Regras_Complexidade'!$D$9,'07_Regras_Complexidade'!$E$9,'07_Regras_Complexidade'!$E$10)))))))</x:f>
      </x:c>
      <x:c r="R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 s="14"/>
      <x:c r="M29"/>
      <x:c r="N29"/>
      <x:c r="O29"/>
      <x:c r="P29"/>
      <x:c r="Q29" s="13" t="str">
        <x:f>IF(B29="","",IF(OR(C29="Sem movimento",C29="Inativo",C29="Encerrado"),'07_Regras_Complexidade'!$E$5,IF(COUNT(M29:P29)&lt;4,'07_Regras_Complexidade'!$E$17,IF(SUM(M29:P29)&lt;='07_Regras_Complexidade'!$D$6,'07_Regras_Complexidade'!$E$6,IF(SUM(M29:P29)&lt;='07_Regras_Complexidade'!$D$7,'07_Regras_Complexidade'!$E$7,IF(SUM(M29:P29)&lt;='07_Regras_Complexidade'!$D$8,'07_Regras_Complexidade'!$E$8,IF(SUM(M29:P29)&lt;='07_Regras_Complexidade'!$D$9,'07_Regras_Complexidade'!$E$9,'07_Regras_Complexidade'!$E$10)))))))</x:f>
      </x:c>
      <x:c r="R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 s="14"/>
      <x:c r="M30"/>
      <x:c r="N30"/>
      <x:c r="O30"/>
      <x:c r="P30"/>
      <x:c r="Q30" s="13" t="str">
        <x:f>IF(B30="","",IF(OR(C30="Sem movimento",C30="Inativo",C30="Encerrado"),'07_Regras_Complexidade'!$E$5,IF(COUNT(M30:P30)&lt;4,'07_Regras_Complexidade'!$E$17,IF(SUM(M30:P30)&lt;='07_Regras_Complexidade'!$D$6,'07_Regras_Complexidade'!$E$6,IF(SUM(M30:P30)&lt;='07_Regras_Complexidade'!$D$7,'07_Regras_Complexidade'!$E$7,IF(SUM(M30:P30)&lt;='07_Regras_Complexidade'!$D$8,'07_Regras_Complexidade'!$E$8,IF(SUM(M30:P30)&lt;='07_Regras_Complexidade'!$D$9,'07_Regras_Complexidade'!$E$9,'07_Regras_Complexidade'!$E$10)))))))</x:f>
      </x:c>
      <x:c r="R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 s="14"/>
      <x:c r="M31"/>
      <x:c r="N31"/>
      <x:c r="O31"/>
      <x:c r="P31"/>
      <x:c r="Q31" s="13" t="str">
        <x:f>IF(B31="","",IF(OR(C31="Sem movimento",C31="Inativo",C31="Encerrado"),'07_Regras_Complexidade'!$E$5,IF(COUNT(M31:P31)&lt;4,'07_Regras_Complexidade'!$E$17,IF(SUM(M31:P31)&lt;='07_Regras_Complexidade'!$D$6,'07_Regras_Complexidade'!$E$6,IF(SUM(M31:P31)&lt;='07_Regras_Complexidade'!$D$7,'07_Regras_Complexidade'!$E$7,IF(SUM(M31:P31)&lt;='07_Regras_Complexidade'!$D$8,'07_Regras_Complexidade'!$E$8,IF(SUM(M31:P31)&lt;='07_Regras_Complexidade'!$D$9,'07_Regras_Complexidade'!$E$9,'07_Regras_Complexidade'!$E$10)))))))</x:f>
      </x:c>
      <x:c r="R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 s="14"/>
      <x:c r="M32"/>
      <x:c r="N32"/>
      <x:c r="O32"/>
      <x:c r="P32"/>
      <x:c r="Q32" s="13" t="str">
        <x:f>IF(B32="","",IF(OR(C32="Sem movimento",C32="Inativo",C32="Encerrado"),'07_Regras_Complexidade'!$E$5,IF(COUNT(M32:P32)&lt;4,'07_Regras_Complexidade'!$E$17,IF(SUM(M32:P32)&lt;='07_Regras_Complexidade'!$D$6,'07_Regras_Complexidade'!$E$6,IF(SUM(M32:P32)&lt;='07_Regras_Complexidade'!$D$7,'07_Regras_Complexidade'!$E$7,IF(SUM(M32:P32)&lt;='07_Regras_Complexidade'!$D$8,'07_Regras_Complexidade'!$E$8,IF(SUM(M32:P32)&lt;='07_Regras_Complexidade'!$D$9,'07_Regras_Complexidade'!$E$9,'07_Regras_Complexidade'!$E$10)))))))</x:f>
      </x:c>
      <x:c r="R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 s="14"/>
      <x:c r="M33"/>
      <x:c r="N33"/>
      <x:c r="O33"/>
      <x:c r="P33"/>
      <x:c r="Q33" s="13" t="str">
        <x:f>IF(B33="","",IF(OR(C33="Sem movimento",C33="Inativo",C33="Encerrado"),'07_Regras_Complexidade'!$E$5,IF(COUNT(M33:P33)&lt;4,'07_Regras_Complexidade'!$E$17,IF(SUM(M33:P33)&lt;='07_Regras_Complexidade'!$D$6,'07_Regras_Complexidade'!$E$6,IF(SUM(M33:P33)&lt;='07_Regras_Complexidade'!$D$7,'07_Regras_Complexidade'!$E$7,IF(SUM(M33:P33)&lt;='07_Regras_Complexidade'!$D$8,'07_Regras_Complexidade'!$E$8,IF(SUM(M33:P33)&lt;='07_Regras_Complexidade'!$D$9,'07_Regras_Complexidade'!$E$9,'07_Regras_Complexidade'!$E$10)))))))</x:f>
      </x:c>
      <x:c r="R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 s="14"/>
      <x:c r="M34"/>
      <x:c r="N34"/>
      <x:c r="O34"/>
      <x:c r="P34"/>
      <x:c r="Q34" s="13" t="str">
        <x:f>IF(B34="","",IF(OR(C34="Sem movimento",C34="Inativo",C34="Encerrado"),'07_Regras_Complexidade'!$E$5,IF(COUNT(M34:P34)&lt;4,'07_Regras_Complexidade'!$E$17,IF(SUM(M34:P34)&lt;='07_Regras_Complexidade'!$D$6,'07_Regras_Complexidade'!$E$6,IF(SUM(M34:P34)&lt;='07_Regras_Complexidade'!$D$7,'07_Regras_Complexidade'!$E$7,IF(SUM(M34:P34)&lt;='07_Regras_Complexidade'!$D$8,'07_Regras_Complexidade'!$E$8,IF(SUM(M34:P34)&lt;='07_Regras_Complexidade'!$D$9,'07_Regras_Complexidade'!$E$9,'07_Regras_Complexidade'!$E$10)))))))</x:f>
      </x:c>
      <x:c r="R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 s="14"/>
      <x:c r="M35"/>
      <x:c r="N35"/>
      <x:c r="O35"/>
      <x:c r="P35"/>
      <x:c r="Q35" s="13" t="str">
        <x:f>IF(B35="","",IF(OR(C35="Sem movimento",C35="Inativo",C35="Encerrado"),'07_Regras_Complexidade'!$E$5,IF(COUNT(M35:P35)&lt;4,'07_Regras_Complexidade'!$E$17,IF(SUM(M35:P35)&lt;='07_Regras_Complexidade'!$D$6,'07_Regras_Complexidade'!$E$6,IF(SUM(M35:P35)&lt;='07_Regras_Complexidade'!$D$7,'07_Regras_Complexidade'!$E$7,IF(SUM(M35:P35)&lt;='07_Regras_Complexidade'!$D$8,'07_Regras_Complexidade'!$E$8,IF(SUM(M35:P35)&lt;='07_Regras_Complexidade'!$D$9,'07_Regras_Complexidade'!$E$9,'07_Regras_Complexidade'!$E$10)))))))</x:f>
      </x:c>
      <x:c r="R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 s="14"/>
      <x:c r="M36"/>
      <x:c r="N36"/>
      <x:c r="O36"/>
      <x:c r="P36"/>
      <x:c r="Q36" s="13" t="str">
        <x:f>IF(B36="","",IF(OR(C36="Sem movimento",C36="Inativo",C36="Encerrado"),'07_Regras_Complexidade'!$E$5,IF(COUNT(M36:P36)&lt;4,'07_Regras_Complexidade'!$E$17,IF(SUM(M36:P36)&lt;='07_Regras_Complexidade'!$D$6,'07_Regras_Complexidade'!$E$6,IF(SUM(M36:P36)&lt;='07_Regras_Complexidade'!$D$7,'07_Regras_Complexidade'!$E$7,IF(SUM(M36:P36)&lt;='07_Regras_Complexidade'!$D$8,'07_Regras_Complexidade'!$E$8,IF(SUM(M36:P36)&lt;='07_Regras_Complexidade'!$D$9,'07_Regras_Complexidade'!$E$9,'07_Regras_Complexidade'!$E$10)))))))</x:f>
      </x:c>
      <x:c r="R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 s="14"/>
      <x:c r="M37"/>
      <x:c r="N37"/>
      <x:c r="O37"/>
      <x:c r="P37"/>
      <x:c r="Q37" s="13" t="str">
        <x:f>IF(B37="","",IF(OR(C37="Sem movimento",C37="Inativo",C37="Encerrado"),'07_Regras_Complexidade'!$E$5,IF(COUNT(M37:P37)&lt;4,'07_Regras_Complexidade'!$E$17,IF(SUM(M37:P37)&lt;='07_Regras_Complexidade'!$D$6,'07_Regras_Complexidade'!$E$6,IF(SUM(M37:P37)&lt;='07_Regras_Complexidade'!$D$7,'07_Regras_Complexidade'!$E$7,IF(SUM(M37:P37)&lt;='07_Regras_Complexidade'!$D$8,'07_Regras_Complexidade'!$E$8,IF(SUM(M37:P37)&lt;='07_Regras_Complexidade'!$D$9,'07_Regras_Complexidade'!$E$9,'07_Regras_Complexidade'!$E$10)))))))</x:f>
      </x:c>
      <x:c r="R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 s="14"/>
      <x:c r="M38"/>
      <x:c r="N38"/>
      <x:c r="O38"/>
      <x:c r="P38"/>
      <x:c r="Q38" s="13" t="str">
        <x:f>IF(B38="","",IF(OR(C38="Sem movimento",C38="Inativo",C38="Encerrado"),'07_Regras_Complexidade'!$E$5,IF(COUNT(M38:P38)&lt;4,'07_Regras_Complexidade'!$E$17,IF(SUM(M38:P38)&lt;='07_Regras_Complexidade'!$D$6,'07_Regras_Complexidade'!$E$6,IF(SUM(M38:P38)&lt;='07_Regras_Complexidade'!$D$7,'07_Regras_Complexidade'!$E$7,IF(SUM(M38:P38)&lt;='07_Regras_Complexidade'!$D$8,'07_Regras_Complexidade'!$E$8,IF(SUM(M38:P38)&lt;='07_Regras_Complexidade'!$D$9,'07_Regras_Complexidade'!$E$9,'07_Regras_Complexidade'!$E$10)))))))</x:f>
      </x:c>
      <x:c r="R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 s="14"/>
      <x:c r="M39"/>
      <x:c r="N39"/>
      <x:c r="O39"/>
      <x:c r="P39"/>
      <x:c r="Q39" s="13" t="str">
        <x:f>IF(B39="","",IF(OR(C39="Sem movimento",C39="Inativo",C39="Encerrado"),'07_Regras_Complexidade'!$E$5,IF(COUNT(M39:P39)&lt;4,'07_Regras_Complexidade'!$E$17,IF(SUM(M39:P39)&lt;='07_Regras_Complexidade'!$D$6,'07_Regras_Complexidade'!$E$6,IF(SUM(M39:P39)&lt;='07_Regras_Complexidade'!$D$7,'07_Regras_Complexidade'!$E$7,IF(SUM(M39:P39)&lt;='07_Regras_Complexidade'!$D$8,'07_Regras_Complexidade'!$E$8,IF(SUM(M39:P39)&lt;='07_Regras_Complexidade'!$D$9,'07_Regras_Complexidade'!$E$9,'07_Regras_Complexidade'!$E$10)))))))</x:f>
      </x:c>
      <x:c r="R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 s="14"/>
      <x:c r="M40"/>
      <x:c r="N40"/>
      <x:c r="O40"/>
      <x:c r="P40"/>
      <x:c r="Q40" s="13" t="str">
        <x:f>IF(B40="","",IF(OR(C40="Sem movimento",C40="Inativo",C40="Encerrado"),'07_Regras_Complexidade'!$E$5,IF(COUNT(M40:P40)&lt;4,'07_Regras_Complexidade'!$E$17,IF(SUM(M40:P40)&lt;='07_Regras_Complexidade'!$D$6,'07_Regras_Complexidade'!$E$6,IF(SUM(M40:P40)&lt;='07_Regras_Complexidade'!$D$7,'07_Regras_Complexidade'!$E$7,IF(SUM(M40:P40)&lt;='07_Regras_Complexidade'!$D$8,'07_Regras_Complexidade'!$E$8,IF(SUM(M40:P40)&lt;='07_Regras_Complexidade'!$D$9,'07_Regras_Complexidade'!$E$9,'07_Regras_Complexidade'!$E$10)))))))</x:f>
      </x:c>
      <x:c r="R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 s="14"/>
      <x:c r="M41"/>
      <x:c r="N41"/>
      <x:c r="O41"/>
      <x:c r="P41"/>
      <x:c r="Q41" s="13" t="str">
        <x:f>IF(B41="","",IF(OR(C41="Sem movimento",C41="Inativo",C41="Encerrado"),'07_Regras_Complexidade'!$E$5,IF(COUNT(M41:P41)&lt;4,'07_Regras_Complexidade'!$E$17,IF(SUM(M41:P41)&lt;='07_Regras_Complexidade'!$D$6,'07_Regras_Complexidade'!$E$6,IF(SUM(M41:P41)&lt;='07_Regras_Complexidade'!$D$7,'07_Regras_Complexidade'!$E$7,IF(SUM(M41:P41)&lt;='07_Regras_Complexidade'!$D$8,'07_Regras_Complexidade'!$E$8,IF(SUM(M41:P41)&lt;='07_Regras_Complexidade'!$D$9,'07_Regras_Complexidade'!$E$9,'07_Regras_Complexidade'!$E$10)))))))</x:f>
      </x:c>
      <x:c r="R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 s="14"/>
      <x:c r="M42"/>
      <x:c r="N42"/>
      <x:c r="O42"/>
      <x:c r="P42"/>
      <x:c r="Q42" s="13" t="str">
        <x:f>IF(B42="","",IF(OR(C42="Sem movimento",C42="Inativo",C42="Encerrado"),'07_Regras_Complexidade'!$E$5,IF(COUNT(M42:P42)&lt;4,'07_Regras_Complexidade'!$E$17,IF(SUM(M42:P42)&lt;='07_Regras_Complexidade'!$D$6,'07_Regras_Complexidade'!$E$6,IF(SUM(M42:P42)&lt;='07_Regras_Complexidade'!$D$7,'07_Regras_Complexidade'!$E$7,IF(SUM(M42:P42)&lt;='07_Regras_Complexidade'!$D$8,'07_Regras_Complexidade'!$E$8,IF(SUM(M42:P42)&lt;='07_Regras_Complexidade'!$D$9,'07_Regras_Complexidade'!$E$9,'07_Regras_Complexidade'!$E$10)))))))</x:f>
      </x:c>
      <x:c r="R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 s="14"/>
      <x:c r="M43"/>
      <x:c r="N43"/>
      <x:c r="O43"/>
      <x:c r="P43"/>
      <x:c r="Q43" s="13" t="str">
        <x:f>IF(B43="","",IF(OR(C43="Sem movimento",C43="Inativo",C43="Encerrado"),'07_Regras_Complexidade'!$E$5,IF(COUNT(M43:P43)&lt;4,'07_Regras_Complexidade'!$E$17,IF(SUM(M43:P43)&lt;='07_Regras_Complexidade'!$D$6,'07_Regras_Complexidade'!$E$6,IF(SUM(M43:P43)&lt;='07_Regras_Complexidade'!$D$7,'07_Regras_Complexidade'!$E$7,IF(SUM(M43:P43)&lt;='07_Regras_Complexidade'!$D$8,'07_Regras_Complexidade'!$E$8,IF(SUM(M43:P43)&lt;='07_Regras_Complexidade'!$D$9,'07_Regras_Complexidade'!$E$9,'07_Regras_Complexidade'!$E$10)))))))</x:f>
      </x:c>
      <x:c r="R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 s="14"/>
      <x:c r="M44"/>
      <x:c r="N44"/>
      <x:c r="O44"/>
      <x:c r="P44"/>
      <x:c r="Q44" s="13" t="str">
        <x:f>IF(B44="","",IF(OR(C44="Sem movimento",C44="Inativo",C44="Encerrado"),'07_Regras_Complexidade'!$E$5,IF(COUNT(M44:P44)&lt;4,'07_Regras_Complexidade'!$E$17,IF(SUM(M44:P44)&lt;='07_Regras_Complexidade'!$D$6,'07_Regras_Complexidade'!$E$6,IF(SUM(M44:P44)&lt;='07_Regras_Complexidade'!$D$7,'07_Regras_Complexidade'!$E$7,IF(SUM(M44:P44)&lt;='07_Regras_Complexidade'!$D$8,'07_Regras_Complexidade'!$E$8,IF(SUM(M44:P44)&lt;='07_Regras_Complexidade'!$D$9,'07_Regras_Complexidade'!$E$9,'07_Regras_Complexidade'!$E$10)))))))</x:f>
      </x:c>
      <x:c r="R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 s="14"/>
      <x:c r="M45"/>
      <x:c r="N45"/>
      <x:c r="O45"/>
      <x:c r="P45"/>
      <x:c r="Q45" s="13" t="str">
        <x:f>IF(B45="","",IF(OR(C45="Sem movimento",C45="Inativo",C45="Encerrado"),'07_Regras_Complexidade'!$E$5,IF(COUNT(M45:P45)&lt;4,'07_Regras_Complexidade'!$E$17,IF(SUM(M45:P45)&lt;='07_Regras_Complexidade'!$D$6,'07_Regras_Complexidade'!$E$6,IF(SUM(M45:P45)&lt;='07_Regras_Complexidade'!$D$7,'07_Regras_Complexidade'!$E$7,IF(SUM(M45:P45)&lt;='07_Regras_Complexidade'!$D$8,'07_Regras_Complexidade'!$E$8,IF(SUM(M45:P45)&lt;='07_Regras_Complexidade'!$D$9,'07_Regras_Complexidade'!$E$9,'07_Regras_Complexidade'!$E$10)))))))</x:f>
      </x:c>
      <x:c r="R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 s="14"/>
      <x:c r="M46"/>
      <x:c r="N46"/>
      <x:c r="O46"/>
      <x:c r="P46"/>
      <x:c r="Q46" s="13" t="str">
        <x:f>IF(B46="","",IF(OR(C46="Sem movimento",C46="Inativo",C46="Encerrado"),'07_Regras_Complexidade'!$E$5,IF(COUNT(M46:P46)&lt;4,'07_Regras_Complexidade'!$E$17,IF(SUM(M46:P46)&lt;='07_Regras_Complexidade'!$D$6,'07_Regras_Complexidade'!$E$6,IF(SUM(M46:P46)&lt;='07_Regras_Complexidade'!$D$7,'07_Regras_Complexidade'!$E$7,IF(SUM(M46:P46)&lt;='07_Regras_Complexidade'!$D$8,'07_Regras_Complexidade'!$E$8,IF(SUM(M46:P46)&lt;='07_Regras_Complexidade'!$D$9,'07_Regras_Complexidade'!$E$9,'07_Regras_Complexidade'!$E$10)))))))</x:f>
      </x:c>
      <x:c r="R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 s="14"/>
      <x:c r="M47"/>
      <x:c r="N47"/>
      <x:c r="O47"/>
      <x:c r="P47"/>
      <x:c r="Q47" s="13" t="str">
        <x:f>IF(B47="","",IF(OR(C47="Sem movimento",C47="Inativo",C47="Encerrado"),'07_Regras_Complexidade'!$E$5,IF(COUNT(M47:P47)&lt;4,'07_Regras_Complexidade'!$E$17,IF(SUM(M47:P47)&lt;='07_Regras_Complexidade'!$D$6,'07_Regras_Complexidade'!$E$6,IF(SUM(M47:P47)&lt;='07_Regras_Complexidade'!$D$7,'07_Regras_Complexidade'!$E$7,IF(SUM(M47:P47)&lt;='07_Regras_Complexidade'!$D$8,'07_Regras_Complexidade'!$E$8,IF(SUM(M47:P47)&lt;='07_Regras_Complexidade'!$D$9,'07_Regras_Complexidade'!$E$9,'07_Regras_Complexidade'!$E$10)))))))</x:f>
      </x:c>
      <x:c r="R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 s="14"/>
      <x:c r="M48"/>
      <x:c r="N48"/>
      <x:c r="O48"/>
      <x:c r="P48"/>
      <x:c r="Q48" s="13" t="str">
        <x:f>IF(B48="","",IF(OR(C48="Sem movimento",C48="Inativo",C48="Encerrado"),'07_Regras_Complexidade'!$E$5,IF(COUNT(M48:P48)&lt;4,'07_Regras_Complexidade'!$E$17,IF(SUM(M48:P48)&lt;='07_Regras_Complexidade'!$D$6,'07_Regras_Complexidade'!$E$6,IF(SUM(M48:P48)&lt;='07_Regras_Complexidade'!$D$7,'07_Regras_Complexidade'!$E$7,IF(SUM(M48:P48)&lt;='07_Regras_Complexidade'!$D$8,'07_Regras_Complexidade'!$E$8,IF(SUM(M48:P48)&lt;='07_Regras_Complexidade'!$D$9,'07_Regras_Complexidade'!$E$9,'07_Regras_Complexidade'!$E$10)))))))</x:f>
      </x:c>
      <x:c r="R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 s="14"/>
      <x:c r="M49"/>
      <x:c r="N49"/>
      <x:c r="O49"/>
      <x:c r="P49"/>
      <x:c r="Q49" s="13" t="str">
        <x:f>IF(B49="","",IF(OR(C49="Sem movimento",C49="Inativo",C49="Encerrado"),'07_Regras_Complexidade'!$E$5,IF(COUNT(M49:P49)&lt;4,'07_Regras_Complexidade'!$E$17,IF(SUM(M49:P49)&lt;='07_Regras_Complexidade'!$D$6,'07_Regras_Complexidade'!$E$6,IF(SUM(M49:P49)&lt;='07_Regras_Complexidade'!$D$7,'07_Regras_Complexidade'!$E$7,IF(SUM(M49:P49)&lt;='07_Regras_Complexidade'!$D$8,'07_Regras_Complexidade'!$E$8,IF(SUM(M49:P49)&lt;='07_Regras_Complexidade'!$D$9,'07_Regras_Complexidade'!$E$9,'07_Regras_Complexidade'!$E$10)))))))</x:f>
      </x:c>
      <x:c r="R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 s="14"/>
      <x:c r="M50"/>
      <x:c r="N50"/>
      <x:c r="O50"/>
      <x:c r="P50"/>
      <x:c r="Q50" s="13" t="str">
        <x:f>IF(B50="","",IF(OR(C50="Sem movimento",C50="Inativo",C50="Encerrado"),'07_Regras_Complexidade'!$E$5,IF(COUNT(M50:P50)&lt;4,'07_Regras_Complexidade'!$E$17,IF(SUM(M50:P50)&lt;='07_Regras_Complexidade'!$D$6,'07_Regras_Complexidade'!$E$6,IF(SUM(M50:P50)&lt;='07_Regras_Complexidade'!$D$7,'07_Regras_Complexidade'!$E$7,IF(SUM(M50:P50)&lt;='07_Regras_Complexidade'!$D$8,'07_Regras_Complexidade'!$E$8,IF(SUM(M50:P50)&lt;='07_Regras_Complexidade'!$D$9,'07_Regras_Complexidade'!$E$9,'07_Regras_Complexidade'!$E$10)))))))</x:f>
      </x:c>
      <x:c r="R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 s="14"/>
      <x:c r="M51"/>
      <x:c r="N51"/>
      <x:c r="O51"/>
      <x:c r="P51"/>
      <x:c r="Q51" s="13" t="str">
        <x:f>IF(B51="","",IF(OR(C51="Sem movimento",C51="Inativo",C51="Encerrado"),'07_Regras_Complexidade'!$E$5,IF(COUNT(M51:P51)&lt;4,'07_Regras_Complexidade'!$E$17,IF(SUM(M51:P51)&lt;='07_Regras_Complexidade'!$D$6,'07_Regras_Complexidade'!$E$6,IF(SUM(M51:P51)&lt;='07_Regras_Complexidade'!$D$7,'07_Regras_Complexidade'!$E$7,IF(SUM(M51:P51)&lt;='07_Regras_Complexidade'!$D$8,'07_Regras_Complexidade'!$E$8,IF(SUM(M51:P51)&lt;='07_Regras_Complexidade'!$D$9,'07_Regras_Complexidade'!$E$9,'07_Regras_Complexidade'!$E$10)))))))</x:f>
      </x:c>
      <x:c r="R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 s="14"/>
      <x:c r="M52"/>
      <x:c r="N52"/>
      <x:c r="O52"/>
      <x:c r="P52"/>
      <x:c r="Q52" s="13" t="str">
        <x:f>IF(B52="","",IF(OR(C52="Sem movimento",C52="Inativo",C52="Encerrado"),'07_Regras_Complexidade'!$E$5,IF(COUNT(M52:P52)&lt;4,'07_Regras_Complexidade'!$E$17,IF(SUM(M52:P52)&lt;='07_Regras_Complexidade'!$D$6,'07_Regras_Complexidade'!$E$6,IF(SUM(M52:P52)&lt;='07_Regras_Complexidade'!$D$7,'07_Regras_Complexidade'!$E$7,IF(SUM(M52:P52)&lt;='07_Regras_Complexidade'!$D$8,'07_Regras_Complexidade'!$E$8,IF(SUM(M52:P52)&lt;='07_Regras_Complexidade'!$D$9,'07_Regras_Complexidade'!$E$9,'07_Regras_Complexidade'!$E$10)))))))</x:f>
      </x:c>
      <x:c r="R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 s="14"/>
      <x:c r="M53"/>
      <x:c r="N53"/>
      <x:c r="O53"/>
      <x:c r="P53"/>
      <x:c r="Q53" s="13" t="str">
        <x:f>IF(B53="","",IF(OR(C53="Sem movimento",C53="Inativo",C53="Encerrado"),'07_Regras_Complexidade'!$E$5,IF(COUNT(M53:P53)&lt;4,'07_Regras_Complexidade'!$E$17,IF(SUM(M53:P53)&lt;='07_Regras_Complexidade'!$D$6,'07_Regras_Complexidade'!$E$6,IF(SUM(M53:P53)&lt;='07_Regras_Complexidade'!$D$7,'07_Regras_Complexidade'!$E$7,IF(SUM(M53:P53)&lt;='07_Regras_Complexidade'!$D$8,'07_Regras_Complexidade'!$E$8,IF(SUM(M53:P53)&lt;='07_Regras_Complexidade'!$D$9,'07_Regras_Complexidade'!$E$9,'07_Regras_Complexidade'!$E$10)))))))</x:f>
      </x:c>
      <x:c r="R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 s="14"/>
      <x:c r="M54"/>
      <x:c r="N54"/>
      <x:c r="O54"/>
      <x:c r="P54"/>
      <x:c r="Q54" s="13" t="str">
        <x:f>IF(B54="","",IF(OR(C54="Sem movimento",C54="Inativo",C54="Encerrado"),'07_Regras_Complexidade'!$E$5,IF(COUNT(M54:P54)&lt;4,'07_Regras_Complexidade'!$E$17,IF(SUM(M54:P54)&lt;='07_Regras_Complexidade'!$D$6,'07_Regras_Complexidade'!$E$6,IF(SUM(M54:P54)&lt;='07_Regras_Complexidade'!$D$7,'07_Regras_Complexidade'!$E$7,IF(SUM(M54:P54)&lt;='07_Regras_Complexidade'!$D$8,'07_Regras_Complexidade'!$E$8,IF(SUM(M54:P54)&lt;='07_Regras_Complexidade'!$D$9,'07_Regras_Complexidade'!$E$9,'07_Regras_Complexidade'!$E$10)))))))</x:f>
      </x:c>
      <x:c r="R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 s="14"/>
      <x:c r="M55"/>
      <x:c r="N55"/>
      <x:c r="O55"/>
      <x:c r="P55"/>
      <x:c r="Q55" s="13" t="str">
        <x:f>IF(B55="","",IF(OR(C55="Sem movimento",C55="Inativo",C55="Encerrado"),'07_Regras_Complexidade'!$E$5,IF(COUNT(M55:P55)&lt;4,'07_Regras_Complexidade'!$E$17,IF(SUM(M55:P55)&lt;='07_Regras_Complexidade'!$D$6,'07_Regras_Complexidade'!$E$6,IF(SUM(M55:P55)&lt;='07_Regras_Complexidade'!$D$7,'07_Regras_Complexidade'!$E$7,IF(SUM(M55:P55)&lt;='07_Regras_Complexidade'!$D$8,'07_Regras_Complexidade'!$E$8,IF(SUM(M55:P55)&lt;='07_Regras_Complexidade'!$D$9,'07_Regras_Complexidade'!$E$9,'07_Regras_Complexidade'!$E$10)))))))</x:f>
      </x:c>
      <x:c r="R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 s="14"/>
      <x:c r="M56"/>
      <x:c r="N56"/>
      <x:c r="O56"/>
      <x:c r="P56"/>
      <x:c r="Q56" s="13" t="str">
        <x:f>IF(B56="","",IF(OR(C56="Sem movimento",C56="Inativo",C56="Encerrado"),'07_Regras_Complexidade'!$E$5,IF(COUNT(M56:P56)&lt;4,'07_Regras_Complexidade'!$E$17,IF(SUM(M56:P56)&lt;='07_Regras_Complexidade'!$D$6,'07_Regras_Complexidade'!$E$6,IF(SUM(M56:P56)&lt;='07_Regras_Complexidade'!$D$7,'07_Regras_Complexidade'!$E$7,IF(SUM(M56:P56)&lt;='07_Regras_Complexidade'!$D$8,'07_Regras_Complexidade'!$E$8,IF(SUM(M56:P56)&lt;='07_Regras_Complexidade'!$D$9,'07_Regras_Complexidade'!$E$9,'07_Regras_Complexidade'!$E$10)))))))</x:f>
      </x:c>
      <x:c r="R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 s="14"/>
      <x:c r="M57"/>
      <x:c r="N57"/>
      <x:c r="O57"/>
      <x:c r="P57"/>
      <x:c r="Q57" s="13" t="str">
        <x:f>IF(B57="","",IF(OR(C57="Sem movimento",C57="Inativo",C57="Encerrado"),'07_Regras_Complexidade'!$E$5,IF(COUNT(M57:P57)&lt;4,'07_Regras_Complexidade'!$E$17,IF(SUM(M57:P57)&lt;='07_Regras_Complexidade'!$D$6,'07_Regras_Complexidade'!$E$6,IF(SUM(M57:P57)&lt;='07_Regras_Complexidade'!$D$7,'07_Regras_Complexidade'!$E$7,IF(SUM(M57:P57)&lt;='07_Regras_Complexidade'!$D$8,'07_Regras_Complexidade'!$E$8,IF(SUM(M57:P57)&lt;='07_Regras_Complexidade'!$D$9,'07_Regras_Complexidade'!$E$9,'07_Regras_Complexidade'!$E$10)))))))</x:f>
      </x:c>
      <x:c r="R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 s="14"/>
      <x:c r="M58"/>
      <x:c r="N58"/>
      <x:c r="O58"/>
      <x:c r="P58"/>
      <x:c r="Q58" s="13" t="str">
        <x:f>IF(B58="","",IF(OR(C58="Sem movimento",C58="Inativo",C58="Encerrado"),'07_Regras_Complexidade'!$E$5,IF(COUNT(M58:P58)&lt;4,'07_Regras_Complexidade'!$E$17,IF(SUM(M58:P58)&lt;='07_Regras_Complexidade'!$D$6,'07_Regras_Complexidade'!$E$6,IF(SUM(M58:P58)&lt;='07_Regras_Complexidade'!$D$7,'07_Regras_Complexidade'!$E$7,IF(SUM(M58:P58)&lt;='07_Regras_Complexidade'!$D$8,'07_Regras_Complexidade'!$E$8,IF(SUM(M58:P58)&lt;='07_Regras_Complexidade'!$D$9,'07_Regras_Complexidade'!$E$9,'07_Regras_Complexidade'!$E$10)))))))</x:f>
      </x:c>
      <x:c r="R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 s="14"/>
      <x:c r="M59"/>
      <x:c r="N59"/>
      <x:c r="O59"/>
      <x:c r="P59"/>
      <x:c r="Q59" s="13" t="str">
        <x:f>IF(B59="","",IF(OR(C59="Sem movimento",C59="Inativo",C59="Encerrado"),'07_Regras_Complexidade'!$E$5,IF(COUNT(M59:P59)&lt;4,'07_Regras_Complexidade'!$E$17,IF(SUM(M59:P59)&lt;='07_Regras_Complexidade'!$D$6,'07_Regras_Complexidade'!$E$6,IF(SUM(M59:P59)&lt;='07_Regras_Complexidade'!$D$7,'07_Regras_Complexidade'!$E$7,IF(SUM(M59:P59)&lt;='07_Regras_Complexidade'!$D$8,'07_Regras_Complexidade'!$E$8,IF(SUM(M59:P59)&lt;='07_Regras_Complexidade'!$D$9,'07_Regras_Complexidade'!$E$9,'07_Regras_Complexidade'!$E$10)))))))</x:f>
      </x:c>
      <x:c r="R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 s="14"/>
      <x:c r="M60"/>
      <x:c r="N60"/>
      <x:c r="O60"/>
      <x:c r="P60"/>
      <x:c r="Q60" s="13" t="str">
        <x:f>IF(B60="","",IF(OR(C60="Sem movimento",C60="Inativo",C60="Encerrado"),'07_Regras_Complexidade'!$E$5,IF(COUNT(M60:P60)&lt;4,'07_Regras_Complexidade'!$E$17,IF(SUM(M60:P60)&lt;='07_Regras_Complexidade'!$D$6,'07_Regras_Complexidade'!$E$6,IF(SUM(M60:P60)&lt;='07_Regras_Complexidade'!$D$7,'07_Regras_Complexidade'!$E$7,IF(SUM(M60:P60)&lt;='07_Regras_Complexidade'!$D$8,'07_Regras_Complexidade'!$E$8,IF(SUM(M60:P60)&lt;='07_Regras_Complexidade'!$D$9,'07_Regras_Complexidade'!$E$9,'07_Regras_Complexidade'!$E$10)))))))</x:f>
      </x:c>
      <x:c r="R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 s="14"/>
      <x:c r="M61"/>
      <x:c r="N61"/>
      <x:c r="O61"/>
      <x:c r="P61"/>
      <x:c r="Q61" s="13" t="str">
        <x:f>IF(B61="","",IF(OR(C61="Sem movimento",C61="Inativo",C61="Encerrado"),'07_Regras_Complexidade'!$E$5,IF(COUNT(M61:P61)&lt;4,'07_Regras_Complexidade'!$E$17,IF(SUM(M61:P61)&lt;='07_Regras_Complexidade'!$D$6,'07_Regras_Complexidade'!$E$6,IF(SUM(M61:P61)&lt;='07_Regras_Complexidade'!$D$7,'07_Regras_Complexidade'!$E$7,IF(SUM(M61:P61)&lt;='07_Regras_Complexidade'!$D$8,'07_Regras_Complexidade'!$E$8,IF(SUM(M61:P61)&lt;='07_Regras_Complexidade'!$D$9,'07_Regras_Complexidade'!$E$9,'07_Regras_Complexidade'!$E$10)))))))</x:f>
      </x:c>
      <x:c r="R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 s="14"/>
      <x:c r="M62"/>
      <x:c r="N62"/>
      <x:c r="O62"/>
      <x:c r="P62"/>
      <x:c r="Q62" s="13" t="str">
        <x:f>IF(B62="","",IF(OR(C62="Sem movimento",C62="Inativo",C62="Encerrado"),'07_Regras_Complexidade'!$E$5,IF(COUNT(M62:P62)&lt;4,'07_Regras_Complexidade'!$E$17,IF(SUM(M62:P62)&lt;='07_Regras_Complexidade'!$D$6,'07_Regras_Complexidade'!$E$6,IF(SUM(M62:P62)&lt;='07_Regras_Complexidade'!$D$7,'07_Regras_Complexidade'!$E$7,IF(SUM(M62:P62)&lt;='07_Regras_Complexidade'!$D$8,'07_Regras_Complexidade'!$E$8,IF(SUM(M62:P62)&lt;='07_Regras_Complexidade'!$D$9,'07_Regras_Complexidade'!$E$9,'07_Regras_Complexidade'!$E$10)))))))</x:f>
      </x:c>
      <x:c r="R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 s="14"/>
      <x:c r="M63"/>
      <x:c r="N63"/>
      <x:c r="O63"/>
      <x:c r="P63"/>
      <x:c r="Q63" s="13" t="str">
        <x:f>IF(B63="","",IF(OR(C63="Sem movimento",C63="Inativo",C63="Encerrado"),'07_Regras_Complexidade'!$E$5,IF(COUNT(M63:P63)&lt;4,'07_Regras_Complexidade'!$E$17,IF(SUM(M63:P63)&lt;='07_Regras_Complexidade'!$D$6,'07_Regras_Complexidade'!$E$6,IF(SUM(M63:P63)&lt;='07_Regras_Complexidade'!$D$7,'07_Regras_Complexidade'!$E$7,IF(SUM(M63:P63)&lt;='07_Regras_Complexidade'!$D$8,'07_Regras_Complexidade'!$E$8,IF(SUM(M63:P63)&lt;='07_Regras_Complexidade'!$D$9,'07_Regras_Complexidade'!$E$9,'07_Regras_Complexidade'!$E$10)))))))</x:f>
      </x:c>
      <x:c r="R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 s="14"/>
      <x:c r="M64"/>
      <x:c r="N64"/>
      <x:c r="O64"/>
      <x:c r="P64"/>
      <x:c r="Q64" s="13" t="str">
        <x:f>IF(B64="","",IF(OR(C64="Sem movimento",C64="Inativo",C64="Encerrado"),'07_Regras_Complexidade'!$E$5,IF(COUNT(M64:P64)&lt;4,'07_Regras_Complexidade'!$E$17,IF(SUM(M64:P64)&lt;='07_Regras_Complexidade'!$D$6,'07_Regras_Complexidade'!$E$6,IF(SUM(M64:P64)&lt;='07_Regras_Complexidade'!$D$7,'07_Regras_Complexidade'!$E$7,IF(SUM(M64:P64)&lt;='07_Regras_Complexidade'!$D$8,'07_Regras_Complexidade'!$E$8,IF(SUM(M64:P64)&lt;='07_Regras_Complexidade'!$D$9,'07_Regras_Complexidade'!$E$9,'07_Regras_Complexidade'!$E$10)))))))</x:f>
      </x:c>
      <x:c r="R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 s="14"/>
      <x:c r="M65"/>
      <x:c r="N65"/>
      <x:c r="O65"/>
      <x:c r="P65"/>
      <x:c r="Q65" s="13" t="str">
        <x:f>IF(B65="","",IF(OR(C65="Sem movimento",C65="Inativo",C65="Encerrado"),'07_Regras_Complexidade'!$E$5,IF(COUNT(M65:P65)&lt;4,'07_Regras_Complexidade'!$E$17,IF(SUM(M65:P65)&lt;='07_Regras_Complexidade'!$D$6,'07_Regras_Complexidade'!$E$6,IF(SUM(M65:P65)&lt;='07_Regras_Complexidade'!$D$7,'07_Regras_Complexidade'!$E$7,IF(SUM(M65:P65)&lt;='07_Regras_Complexidade'!$D$8,'07_Regras_Complexidade'!$E$8,IF(SUM(M65:P65)&lt;='07_Regras_Complexidade'!$D$9,'07_Regras_Complexidade'!$E$9,'07_Regras_Complexidade'!$E$10)))))))</x:f>
      </x:c>
      <x:c r="R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 s="14"/>
      <x:c r="M66"/>
      <x:c r="N66"/>
      <x:c r="O66"/>
      <x:c r="P66"/>
      <x:c r="Q66" s="13" t="str">
        <x:f>IF(B66="","",IF(OR(C66="Sem movimento",C66="Inativo",C66="Encerrado"),'07_Regras_Complexidade'!$E$5,IF(COUNT(M66:P66)&lt;4,'07_Regras_Complexidade'!$E$17,IF(SUM(M66:P66)&lt;='07_Regras_Complexidade'!$D$6,'07_Regras_Complexidade'!$E$6,IF(SUM(M66:P66)&lt;='07_Regras_Complexidade'!$D$7,'07_Regras_Complexidade'!$E$7,IF(SUM(M66:P66)&lt;='07_Regras_Complexidade'!$D$8,'07_Regras_Complexidade'!$E$8,IF(SUM(M66:P66)&lt;='07_Regras_Complexidade'!$D$9,'07_Regras_Complexidade'!$E$9,'07_Regras_Complexidade'!$E$10)))))))</x:f>
      </x:c>
      <x:c r="R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 s="14"/>
      <x:c r="M67"/>
      <x:c r="N67"/>
      <x:c r="O67"/>
      <x:c r="P67"/>
      <x:c r="Q67" s="13" t="str">
        <x:f>IF(B67="","",IF(OR(C67="Sem movimento",C67="Inativo",C67="Encerrado"),'07_Regras_Complexidade'!$E$5,IF(COUNT(M67:P67)&lt;4,'07_Regras_Complexidade'!$E$17,IF(SUM(M67:P67)&lt;='07_Regras_Complexidade'!$D$6,'07_Regras_Complexidade'!$E$6,IF(SUM(M67:P67)&lt;='07_Regras_Complexidade'!$D$7,'07_Regras_Complexidade'!$E$7,IF(SUM(M67:P67)&lt;='07_Regras_Complexidade'!$D$8,'07_Regras_Complexidade'!$E$8,IF(SUM(M67:P67)&lt;='07_Regras_Complexidade'!$D$9,'07_Regras_Complexidade'!$E$9,'07_Regras_Complexidade'!$E$10)))))))</x:f>
      </x:c>
      <x:c r="R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 s="14"/>
      <x:c r="M68"/>
      <x:c r="N68"/>
      <x:c r="O68"/>
      <x:c r="P68"/>
      <x:c r="Q68" s="13" t="str">
        <x:f>IF(B68="","",IF(OR(C68="Sem movimento",C68="Inativo",C68="Encerrado"),'07_Regras_Complexidade'!$E$5,IF(COUNT(M68:P68)&lt;4,'07_Regras_Complexidade'!$E$17,IF(SUM(M68:P68)&lt;='07_Regras_Complexidade'!$D$6,'07_Regras_Complexidade'!$E$6,IF(SUM(M68:P68)&lt;='07_Regras_Complexidade'!$D$7,'07_Regras_Complexidade'!$E$7,IF(SUM(M68:P68)&lt;='07_Regras_Complexidade'!$D$8,'07_Regras_Complexidade'!$E$8,IF(SUM(M68:P68)&lt;='07_Regras_Complexidade'!$D$9,'07_Regras_Complexidade'!$E$9,'07_Regras_Complexidade'!$E$10)))))))</x:f>
      </x:c>
      <x:c r="R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 s="14"/>
      <x:c r="M69"/>
      <x:c r="N69"/>
      <x:c r="O69"/>
      <x:c r="P69"/>
      <x:c r="Q69" s="13" t="str">
        <x:f>IF(B69="","",IF(OR(C69="Sem movimento",C69="Inativo",C69="Encerrado"),'07_Regras_Complexidade'!$E$5,IF(COUNT(M69:P69)&lt;4,'07_Regras_Complexidade'!$E$17,IF(SUM(M69:P69)&lt;='07_Regras_Complexidade'!$D$6,'07_Regras_Complexidade'!$E$6,IF(SUM(M69:P69)&lt;='07_Regras_Complexidade'!$D$7,'07_Regras_Complexidade'!$E$7,IF(SUM(M69:P69)&lt;='07_Regras_Complexidade'!$D$8,'07_Regras_Complexidade'!$E$8,IF(SUM(M69:P69)&lt;='07_Regras_Complexidade'!$D$9,'07_Regras_Complexidade'!$E$9,'07_Regras_Complexidade'!$E$10)))))))</x:f>
      </x:c>
      <x:c r="R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 s="14"/>
      <x:c r="M70"/>
      <x:c r="N70"/>
      <x:c r="O70"/>
      <x:c r="P70"/>
      <x:c r="Q70" s="13" t="str">
        <x:f>IF(B70="","",IF(OR(C70="Sem movimento",C70="Inativo",C70="Encerrado"),'07_Regras_Complexidade'!$E$5,IF(COUNT(M70:P70)&lt;4,'07_Regras_Complexidade'!$E$17,IF(SUM(M70:P70)&lt;='07_Regras_Complexidade'!$D$6,'07_Regras_Complexidade'!$E$6,IF(SUM(M70:P70)&lt;='07_Regras_Complexidade'!$D$7,'07_Regras_Complexidade'!$E$7,IF(SUM(M70:P70)&lt;='07_Regras_Complexidade'!$D$8,'07_Regras_Complexidade'!$E$8,IF(SUM(M70:P70)&lt;='07_Regras_Complexidade'!$D$9,'07_Regras_Complexidade'!$E$9,'07_Regras_Complexidade'!$E$10)))))))</x:f>
      </x:c>
      <x:c r="R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 s="14"/>
      <x:c r="M71"/>
      <x:c r="N71"/>
      <x:c r="O71"/>
      <x:c r="P71"/>
      <x:c r="Q71" s="13" t="str">
        <x:f>IF(B71="","",IF(OR(C71="Sem movimento",C71="Inativo",C71="Encerrado"),'07_Regras_Complexidade'!$E$5,IF(COUNT(M71:P71)&lt;4,'07_Regras_Complexidade'!$E$17,IF(SUM(M71:P71)&lt;='07_Regras_Complexidade'!$D$6,'07_Regras_Complexidade'!$E$6,IF(SUM(M71:P71)&lt;='07_Regras_Complexidade'!$D$7,'07_Regras_Complexidade'!$E$7,IF(SUM(M71:P71)&lt;='07_Regras_Complexidade'!$D$8,'07_Regras_Complexidade'!$E$8,IF(SUM(M71:P71)&lt;='07_Regras_Complexidade'!$D$9,'07_Regras_Complexidade'!$E$9,'07_Regras_Complexidade'!$E$10)))))))</x:f>
      </x:c>
      <x:c r="R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 s="14"/>
      <x:c r="M72"/>
      <x:c r="N72"/>
      <x:c r="O72"/>
      <x:c r="P72"/>
      <x:c r="Q72" s="13" t="str">
        <x:f>IF(B72="","",IF(OR(C72="Sem movimento",C72="Inativo",C72="Encerrado"),'07_Regras_Complexidade'!$E$5,IF(COUNT(M72:P72)&lt;4,'07_Regras_Complexidade'!$E$17,IF(SUM(M72:P72)&lt;='07_Regras_Complexidade'!$D$6,'07_Regras_Complexidade'!$E$6,IF(SUM(M72:P72)&lt;='07_Regras_Complexidade'!$D$7,'07_Regras_Complexidade'!$E$7,IF(SUM(M72:P72)&lt;='07_Regras_Complexidade'!$D$8,'07_Regras_Complexidade'!$E$8,IF(SUM(M72:P72)&lt;='07_Regras_Complexidade'!$D$9,'07_Regras_Complexidade'!$E$9,'07_Regras_Complexidade'!$E$10)))))))</x:f>
      </x:c>
      <x:c r="R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 s="14"/>
      <x:c r="M73"/>
      <x:c r="N73"/>
      <x:c r="O73"/>
      <x:c r="P73"/>
      <x:c r="Q73" s="13" t="str">
        <x:f>IF(B73="","",IF(OR(C73="Sem movimento",C73="Inativo",C73="Encerrado"),'07_Regras_Complexidade'!$E$5,IF(COUNT(M73:P73)&lt;4,'07_Regras_Complexidade'!$E$17,IF(SUM(M73:P73)&lt;='07_Regras_Complexidade'!$D$6,'07_Regras_Complexidade'!$E$6,IF(SUM(M73:P73)&lt;='07_Regras_Complexidade'!$D$7,'07_Regras_Complexidade'!$E$7,IF(SUM(M73:P73)&lt;='07_Regras_Complexidade'!$D$8,'07_Regras_Complexidade'!$E$8,IF(SUM(M73:P73)&lt;='07_Regras_Complexidade'!$D$9,'07_Regras_Complexidade'!$E$9,'07_Regras_Complexidade'!$E$10)))))))</x:f>
      </x:c>
      <x:c r="R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 s="14"/>
      <x:c r="M74"/>
      <x:c r="N74"/>
      <x:c r="O74"/>
      <x:c r="P74"/>
      <x:c r="Q74" s="13" t="str">
        <x:f>IF(B74="","",IF(OR(C74="Sem movimento",C74="Inativo",C74="Encerrado"),'07_Regras_Complexidade'!$E$5,IF(COUNT(M74:P74)&lt;4,'07_Regras_Complexidade'!$E$17,IF(SUM(M74:P74)&lt;='07_Regras_Complexidade'!$D$6,'07_Regras_Complexidade'!$E$6,IF(SUM(M74:P74)&lt;='07_Regras_Complexidade'!$D$7,'07_Regras_Complexidade'!$E$7,IF(SUM(M74:P74)&lt;='07_Regras_Complexidade'!$D$8,'07_Regras_Complexidade'!$E$8,IF(SUM(M74:P74)&lt;='07_Regras_Complexidade'!$D$9,'07_Regras_Complexidade'!$E$9,'07_Regras_Complexidade'!$E$10)))))))</x:f>
      </x:c>
      <x:c r="R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 s="14"/>
      <x:c r="M75"/>
      <x:c r="N75"/>
      <x:c r="O75"/>
      <x:c r="P75"/>
      <x:c r="Q75" s="13" t="str">
        <x:f>IF(B75="","",IF(OR(C75="Sem movimento",C75="Inativo",C75="Encerrado"),'07_Regras_Complexidade'!$E$5,IF(COUNT(M75:P75)&lt;4,'07_Regras_Complexidade'!$E$17,IF(SUM(M75:P75)&lt;='07_Regras_Complexidade'!$D$6,'07_Regras_Complexidade'!$E$6,IF(SUM(M75:P75)&lt;='07_Regras_Complexidade'!$D$7,'07_Regras_Complexidade'!$E$7,IF(SUM(M75:P75)&lt;='07_Regras_Complexidade'!$D$8,'07_Regras_Complexidade'!$E$8,IF(SUM(M75:P75)&lt;='07_Regras_Complexidade'!$D$9,'07_Regras_Complexidade'!$E$9,'07_Regras_Complexidade'!$E$10)))))))</x:f>
      </x:c>
      <x:c r="R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 s="14"/>
      <x:c r="M76"/>
      <x:c r="N76"/>
      <x:c r="O76"/>
      <x:c r="P76"/>
      <x:c r="Q76" s="13" t="str">
        <x:f>IF(B76="","",IF(OR(C76="Sem movimento",C76="Inativo",C76="Encerrado"),'07_Regras_Complexidade'!$E$5,IF(COUNT(M76:P76)&lt;4,'07_Regras_Complexidade'!$E$17,IF(SUM(M76:P76)&lt;='07_Regras_Complexidade'!$D$6,'07_Regras_Complexidade'!$E$6,IF(SUM(M76:P76)&lt;='07_Regras_Complexidade'!$D$7,'07_Regras_Complexidade'!$E$7,IF(SUM(M76:P76)&lt;='07_Regras_Complexidade'!$D$8,'07_Regras_Complexidade'!$E$8,IF(SUM(M76:P76)&lt;='07_Regras_Complexidade'!$D$9,'07_Regras_Complexidade'!$E$9,'07_Regras_Complexidade'!$E$10)))))))</x:f>
      </x:c>
      <x:c r="R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 s="14"/>
      <x:c r="M77"/>
      <x:c r="N77"/>
      <x:c r="O77"/>
      <x:c r="P77"/>
      <x:c r="Q77" s="13" t="str">
        <x:f>IF(B77="","",IF(OR(C77="Sem movimento",C77="Inativo",C77="Encerrado"),'07_Regras_Complexidade'!$E$5,IF(COUNT(M77:P77)&lt;4,'07_Regras_Complexidade'!$E$17,IF(SUM(M77:P77)&lt;='07_Regras_Complexidade'!$D$6,'07_Regras_Complexidade'!$E$6,IF(SUM(M77:P77)&lt;='07_Regras_Complexidade'!$D$7,'07_Regras_Complexidade'!$E$7,IF(SUM(M77:P77)&lt;='07_Regras_Complexidade'!$D$8,'07_Regras_Complexidade'!$E$8,IF(SUM(M77:P77)&lt;='07_Regras_Complexidade'!$D$9,'07_Regras_Complexidade'!$E$9,'07_Regras_Complexidade'!$E$10)))))))</x:f>
      </x:c>
      <x:c r="R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 s="14"/>
      <x:c r="M78"/>
      <x:c r="N78"/>
      <x:c r="O78"/>
      <x:c r="P78"/>
      <x:c r="Q78" s="13" t="str">
        <x:f>IF(B78="","",IF(OR(C78="Sem movimento",C78="Inativo",C78="Encerrado"),'07_Regras_Complexidade'!$E$5,IF(COUNT(M78:P78)&lt;4,'07_Regras_Complexidade'!$E$17,IF(SUM(M78:P78)&lt;='07_Regras_Complexidade'!$D$6,'07_Regras_Complexidade'!$E$6,IF(SUM(M78:P78)&lt;='07_Regras_Complexidade'!$D$7,'07_Regras_Complexidade'!$E$7,IF(SUM(M78:P78)&lt;='07_Regras_Complexidade'!$D$8,'07_Regras_Complexidade'!$E$8,IF(SUM(M78:P78)&lt;='07_Regras_Complexidade'!$D$9,'07_Regras_Complexidade'!$E$9,'07_Regras_Complexidade'!$E$10)))))))</x:f>
      </x:c>
      <x:c r="R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 s="14"/>
      <x:c r="M79"/>
      <x:c r="N79"/>
      <x:c r="O79"/>
      <x:c r="P79"/>
      <x:c r="Q79" s="13" t="str">
        <x:f>IF(B79="","",IF(OR(C79="Sem movimento",C79="Inativo",C79="Encerrado"),'07_Regras_Complexidade'!$E$5,IF(COUNT(M79:P79)&lt;4,'07_Regras_Complexidade'!$E$17,IF(SUM(M79:P79)&lt;='07_Regras_Complexidade'!$D$6,'07_Regras_Complexidade'!$E$6,IF(SUM(M79:P79)&lt;='07_Regras_Complexidade'!$D$7,'07_Regras_Complexidade'!$E$7,IF(SUM(M79:P79)&lt;='07_Regras_Complexidade'!$D$8,'07_Regras_Complexidade'!$E$8,IF(SUM(M79:P79)&lt;='07_Regras_Complexidade'!$D$9,'07_Regras_Complexidade'!$E$9,'07_Regras_Complexidade'!$E$10)))))))</x:f>
      </x:c>
      <x:c r="R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 s="14"/>
      <x:c r="M80"/>
      <x:c r="N80"/>
      <x:c r="O80"/>
      <x:c r="P80"/>
      <x:c r="Q80" s="13" t="str">
        <x:f>IF(B80="","",IF(OR(C80="Sem movimento",C80="Inativo",C80="Encerrado"),'07_Regras_Complexidade'!$E$5,IF(COUNT(M80:P80)&lt;4,'07_Regras_Complexidade'!$E$17,IF(SUM(M80:P80)&lt;='07_Regras_Complexidade'!$D$6,'07_Regras_Complexidade'!$E$6,IF(SUM(M80:P80)&lt;='07_Regras_Complexidade'!$D$7,'07_Regras_Complexidade'!$E$7,IF(SUM(M80:P80)&lt;='07_Regras_Complexidade'!$D$8,'07_Regras_Complexidade'!$E$8,IF(SUM(M80:P80)&lt;='07_Regras_Complexidade'!$D$9,'07_Regras_Complexidade'!$E$9,'07_Regras_Complexidade'!$E$10)))))))</x:f>
      </x:c>
      <x:c r="R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 s="14"/>
      <x:c r="M81"/>
      <x:c r="N81"/>
      <x:c r="O81"/>
      <x:c r="P81"/>
      <x:c r="Q81" s="13" t="str">
        <x:f>IF(B81="","",IF(OR(C81="Sem movimento",C81="Inativo",C81="Encerrado"),'07_Regras_Complexidade'!$E$5,IF(COUNT(M81:P81)&lt;4,'07_Regras_Complexidade'!$E$17,IF(SUM(M81:P81)&lt;='07_Regras_Complexidade'!$D$6,'07_Regras_Complexidade'!$E$6,IF(SUM(M81:P81)&lt;='07_Regras_Complexidade'!$D$7,'07_Regras_Complexidade'!$E$7,IF(SUM(M81:P81)&lt;='07_Regras_Complexidade'!$D$8,'07_Regras_Complexidade'!$E$8,IF(SUM(M81:P81)&lt;='07_Regras_Complexidade'!$D$9,'07_Regras_Complexidade'!$E$9,'07_Regras_Complexidade'!$E$10)))))))</x:f>
      </x:c>
      <x:c r="R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 s="14"/>
      <x:c r="M82"/>
      <x:c r="N82"/>
      <x:c r="O82"/>
      <x:c r="P82"/>
      <x:c r="Q82" s="13" t="str">
        <x:f>IF(B82="","",IF(OR(C82="Sem movimento",C82="Inativo",C82="Encerrado"),'07_Regras_Complexidade'!$E$5,IF(COUNT(M82:P82)&lt;4,'07_Regras_Complexidade'!$E$17,IF(SUM(M82:P82)&lt;='07_Regras_Complexidade'!$D$6,'07_Regras_Complexidade'!$E$6,IF(SUM(M82:P82)&lt;='07_Regras_Complexidade'!$D$7,'07_Regras_Complexidade'!$E$7,IF(SUM(M82:P82)&lt;='07_Regras_Complexidade'!$D$8,'07_Regras_Complexidade'!$E$8,IF(SUM(M82:P82)&lt;='07_Regras_Complexidade'!$D$9,'07_Regras_Complexidade'!$E$9,'07_Regras_Complexidade'!$E$10)))))))</x:f>
      </x:c>
      <x:c r="R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 s="14"/>
      <x:c r="M83"/>
      <x:c r="N83"/>
      <x:c r="O83"/>
      <x:c r="P83"/>
      <x:c r="Q83" s="13" t="str">
        <x:f>IF(B83="","",IF(OR(C83="Sem movimento",C83="Inativo",C83="Encerrado"),'07_Regras_Complexidade'!$E$5,IF(COUNT(M83:P83)&lt;4,'07_Regras_Complexidade'!$E$17,IF(SUM(M83:P83)&lt;='07_Regras_Complexidade'!$D$6,'07_Regras_Complexidade'!$E$6,IF(SUM(M83:P83)&lt;='07_Regras_Complexidade'!$D$7,'07_Regras_Complexidade'!$E$7,IF(SUM(M83:P83)&lt;='07_Regras_Complexidade'!$D$8,'07_Regras_Complexidade'!$E$8,IF(SUM(M83:P83)&lt;='07_Regras_Complexidade'!$D$9,'07_Regras_Complexidade'!$E$9,'07_Regras_Complexidade'!$E$10)))))))</x:f>
      </x:c>
      <x:c r="R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 s="14"/>
      <x:c r="M84"/>
      <x:c r="N84"/>
      <x:c r="O84"/>
      <x:c r="P84"/>
      <x:c r="Q84" s="13" t="str">
        <x:f>IF(B84="","",IF(OR(C84="Sem movimento",C84="Inativo",C84="Encerrado"),'07_Regras_Complexidade'!$E$5,IF(COUNT(M84:P84)&lt;4,'07_Regras_Complexidade'!$E$17,IF(SUM(M84:P84)&lt;='07_Regras_Complexidade'!$D$6,'07_Regras_Complexidade'!$E$6,IF(SUM(M84:P84)&lt;='07_Regras_Complexidade'!$D$7,'07_Regras_Complexidade'!$E$7,IF(SUM(M84:P84)&lt;='07_Regras_Complexidade'!$D$8,'07_Regras_Complexidade'!$E$8,IF(SUM(M84:P84)&lt;='07_Regras_Complexidade'!$D$9,'07_Regras_Complexidade'!$E$9,'07_Regras_Complexidade'!$E$10)))))))</x:f>
      </x:c>
      <x:c r="R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 s="14"/>
      <x:c r="M85"/>
      <x:c r="N85"/>
      <x:c r="O85"/>
      <x:c r="P85"/>
      <x:c r="Q85" s="13" t="str">
        <x:f>IF(B85="","",IF(OR(C85="Sem movimento",C85="Inativo",C85="Encerrado"),'07_Regras_Complexidade'!$E$5,IF(COUNT(M85:P85)&lt;4,'07_Regras_Complexidade'!$E$17,IF(SUM(M85:P85)&lt;='07_Regras_Complexidade'!$D$6,'07_Regras_Complexidade'!$E$6,IF(SUM(M85:P85)&lt;='07_Regras_Complexidade'!$D$7,'07_Regras_Complexidade'!$E$7,IF(SUM(M85:P85)&lt;='07_Regras_Complexidade'!$D$8,'07_Regras_Complexidade'!$E$8,IF(SUM(M85:P85)&lt;='07_Regras_Complexidade'!$D$9,'07_Regras_Complexidade'!$E$9,'07_Regras_Complexidade'!$E$10)))))))</x:f>
      </x:c>
      <x:c r="R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 s="14"/>
      <x:c r="M86"/>
      <x:c r="N86"/>
      <x:c r="O86"/>
      <x:c r="P86"/>
      <x:c r="Q86" s="13" t="str">
        <x:f>IF(B86="","",IF(OR(C86="Sem movimento",C86="Inativo",C86="Encerrado"),'07_Regras_Complexidade'!$E$5,IF(COUNT(M86:P86)&lt;4,'07_Regras_Complexidade'!$E$17,IF(SUM(M86:P86)&lt;='07_Regras_Complexidade'!$D$6,'07_Regras_Complexidade'!$E$6,IF(SUM(M86:P86)&lt;='07_Regras_Complexidade'!$D$7,'07_Regras_Complexidade'!$E$7,IF(SUM(M86:P86)&lt;='07_Regras_Complexidade'!$D$8,'07_Regras_Complexidade'!$E$8,IF(SUM(M86:P86)&lt;='07_Regras_Complexidade'!$D$9,'07_Regras_Complexidade'!$E$9,'07_Regras_Complexidade'!$E$10)))))))</x:f>
      </x:c>
      <x:c r="R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 s="14"/>
      <x:c r="M87"/>
      <x:c r="N87"/>
      <x:c r="O87"/>
      <x:c r="P87"/>
      <x:c r="Q87" s="13" t="str">
        <x:f>IF(B87="","",IF(OR(C87="Sem movimento",C87="Inativo",C87="Encerrado"),'07_Regras_Complexidade'!$E$5,IF(COUNT(M87:P87)&lt;4,'07_Regras_Complexidade'!$E$17,IF(SUM(M87:P87)&lt;='07_Regras_Complexidade'!$D$6,'07_Regras_Complexidade'!$E$6,IF(SUM(M87:P87)&lt;='07_Regras_Complexidade'!$D$7,'07_Regras_Complexidade'!$E$7,IF(SUM(M87:P87)&lt;='07_Regras_Complexidade'!$D$8,'07_Regras_Complexidade'!$E$8,IF(SUM(M87:P87)&lt;='07_Regras_Complexidade'!$D$9,'07_Regras_Complexidade'!$E$9,'07_Regras_Complexidade'!$E$10)))))))</x:f>
      </x:c>
      <x:c r="R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 s="14"/>
      <x:c r="M88"/>
      <x:c r="N88"/>
      <x:c r="O88"/>
      <x:c r="P88"/>
      <x:c r="Q88" s="13" t="str">
        <x:f>IF(B88="","",IF(OR(C88="Sem movimento",C88="Inativo",C88="Encerrado"),'07_Regras_Complexidade'!$E$5,IF(COUNT(M88:P88)&lt;4,'07_Regras_Complexidade'!$E$17,IF(SUM(M88:P88)&lt;='07_Regras_Complexidade'!$D$6,'07_Regras_Complexidade'!$E$6,IF(SUM(M88:P88)&lt;='07_Regras_Complexidade'!$D$7,'07_Regras_Complexidade'!$E$7,IF(SUM(M88:P88)&lt;='07_Regras_Complexidade'!$D$8,'07_Regras_Complexidade'!$E$8,IF(SUM(M88:P88)&lt;='07_Regras_Complexidade'!$D$9,'07_Regras_Complexidade'!$E$9,'07_Regras_Complexidade'!$E$10)))))))</x:f>
      </x:c>
      <x:c r="R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 s="14"/>
      <x:c r="M89"/>
      <x:c r="N89"/>
      <x:c r="O89"/>
      <x:c r="P89"/>
      <x:c r="Q89" s="13" t="str">
        <x:f>IF(B89="","",IF(OR(C89="Sem movimento",C89="Inativo",C89="Encerrado"),'07_Regras_Complexidade'!$E$5,IF(COUNT(M89:P89)&lt;4,'07_Regras_Complexidade'!$E$17,IF(SUM(M89:P89)&lt;='07_Regras_Complexidade'!$D$6,'07_Regras_Complexidade'!$E$6,IF(SUM(M89:P89)&lt;='07_Regras_Complexidade'!$D$7,'07_Regras_Complexidade'!$E$7,IF(SUM(M89:P89)&lt;='07_Regras_Complexidade'!$D$8,'07_Regras_Complexidade'!$E$8,IF(SUM(M89:P89)&lt;='07_Regras_Complexidade'!$D$9,'07_Regras_Complexidade'!$E$9,'07_Regras_Complexidade'!$E$10)))))))</x:f>
      </x:c>
      <x:c r="R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 s="14"/>
      <x:c r="M90"/>
      <x:c r="N90"/>
      <x:c r="O90"/>
      <x:c r="P90"/>
      <x:c r="Q90" s="13" t="str">
        <x:f>IF(B90="","",IF(OR(C90="Sem movimento",C90="Inativo",C90="Encerrado"),'07_Regras_Complexidade'!$E$5,IF(COUNT(M90:P90)&lt;4,'07_Regras_Complexidade'!$E$17,IF(SUM(M90:P90)&lt;='07_Regras_Complexidade'!$D$6,'07_Regras_Complexidade'!$E$6,IF(SUM(M90:P90)&lt;='07_Regras_Complexidade'!$D$7,'07_Regras_Complexidade'!$E$7,IF(SUM(M90:P90)&lt;='07_Regras_Complexidade'!$D$8,'07_Regras_Complexidade'!$E$8,IF(SUM(M90:P90)&lt;='07_Regras_Complexidade'!$D$9,'07_Regras_Complexidade'!$E$9,'07_Regras_Complexidade'!$E$10)))))))</x:f>
      </x:c>
      <x:c r="R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 s="14"/>
      <x:c r="M91"/>
      <x:c r="N91"/>
      <x:c r="O91"/>
      <x:c r="P91"/>
      <x:c r="Q91" s="13" t="str">
        <x:f>IF(B91="","",IF(OR(C91="Sem movimento",C91="Inativo",C91="Encerrado"),'07_Regras_Complexidade'!$E$5,IF(COUNT(M91:P91)&lt;4,'07_Regras_Complexidade'!$E$17,IF(SUM(M91:P91)&lt;='07_Regras_Complexidade'!$D$6,'07_Regras_Complexidade'!$E$6,IF(SUM(M91:P91)&lt;='07_Regras_Complexidade'!$D$7,'07_Regras_Complexidade'!$E$7,IF(SUM(M91:P91)&lt;='07_Regras_Complexidade'!$D$8,'07_Regras_Complexidade'!$E$8,IF(SUM(M91:P91)&lt;='07_Regras_Complexidade'!$D$9,'07_Regras_Complexidade'!$E$9,'07_Regras_Complexidade'!$E$10)))))))</x:f>
      </x:c>
      <x:c r="R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 s="14"/>
      <x:c r="M92"/>
      <x:c r="N92"/>
      <x:c r="O92"/>
      <x:c r="P92"/>
      <x:c r="Q92" s="13" t="str">
        <x:f>IF(B92="","",IF(OR(C92="Sem movimento",C92="Inativo",C92="Encerrado"),'07_Regras_Complexidade'!$E$5,IF(COUNT(M92:P92)&lt;4,'07_Regras_Complexidade'!$E$17,IF(SUM(M92:P92)&lt;='07_Regras_Complexidade'!$D$6,'07_Regras_Complexidade'!$E$6,IF(SUM(M92:P92)&lt;='07_Regras_Complexidade'!$D$7,'07_Regras_Complexidade'!$E$7,IF(SUM(M92:P92)&lt;='07_Regras_Complexidade'!$D$8,'07_Regras_Complexidade'!$E$8,IF(SUM(M92:P92)&lt;='07_Regras_Complexidade'!$D$9,'07_Regras_Complexidade'!$E$9,'07_Regras_Complexidade'!$E$10)))))))</x:f>
      </x:c>
      <x:c r="R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 s="14"/>
      <x:c r="M93"/>
      <x:c r="N93"/>
      <x:c r="O93"/>
      <x:c r="P93"/>
      <x:c r="Q93" s="13" t="str">
        <x:f>IF(B93="","",IF(OR(C93="Sem movimento",C93="Inativo",C93="Encerrado"),'07_Regras_Complexidade'!$E$5,IF(COUNT(M93:P93)&lt;4,'07_Regras_Complexidade'!$E$17,IF(SUM(M93:P93)&lt;='07_Regras_Complexidade'!$D$6,'07_Regras_Complexidade'!$E$6,IF(SUM(M93:P93)&lt;='07_Regras_Complexidade'!$D$7,'07_Regras_Complexidade'!$E$7,IF(SUM(M93:P93)&lt;='07_Regras_Complexidade'!$D$8,'07_Regras_Complexidade'!$E$8,IF(SUM(M93:P93)&lt;='07_Regras_Complexidade'!$D$9,'07_Regras_Complexidade'!$E$9,'07_Regras_Complexidade'!$E$10)))))))</x:f>
      </x:c>
      <x:c r="R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 s="14"/>
      <x:c r="M94"/>
      <x:c r="N94"/>
      <x:c r="O94"/>
      <x:c r="P94"/>
      <x:c r="Q94" s="13" t="str">
        <x:f>IF(B94="","",IF(OR(C94="Sem movimento",C94="Inativo",C94="Encerrado"),'07_Regras_Complexidade'!$E$5,IF(COUNT(M94:P94)&lt;4,'07_Regras_Complexidade'!$E$17,IF(SUM(M94:P94)&lt;='07_Regras_Complexidade'!$D$6,'07_Regras_Complexidade'!$E$6,IF(SUM(M94:P94)&lt;='07_Regras_Complexidade'!$D$7,'07_Regras_Complexidade'!$E$7,IF(SUM(M94:P94)&lt;='07_Regras_Complexidade'!$D$8,'07_Regras_Complexidade'!$E$8,IF(SUM(M94:P94)&lt;='07_Regras_Complexidade'!$D$9,'07_Regras_Complexidade'!$E$9,'07_Regras_Complexidade'!$E$10)))))))</x:f>
      </x:c>
      <x:c r="R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 s="14"/>
      <x:c r="M95"/>
      <x:c r="N95"/>
      <x:c r="O95"/>
      <x:c r="P95"/>
      <x:c r="Q95" s="13" t="str">
        <x:f>IF(B95="","",IF(OR(C95="Sem movimento",C95="Inativo",C95="Encerrado"),'07_Regras_Complexidade'!$E$5,IF(COUNT(M95:P95)&lt;4,'07_Regras_Complexidade'!$E$17,IF(SUM(M95:P95)&lt;='07_Regras_Complexidade'!$D$6,'07_Regras_Complexidade'!$E$6,IF(SUM(M95:P95)&lt;='07_Regras_Complexidade'!$D$7,'07_Regras_Complexidade'!$E$7,IF(SUM(M95:P95)&lt;='07_Regras_Complexidade'!$D$8,'07_Regras_Complexidade'!$E$8,IF(SUM(M95:P95)&lt;='07_Regras_Complexidade'!$D$9,'07_Regras_Complexidade'!$E$9,'07_Regras_Complexidade'!$E$10)))))))</x:f>
      </x:c>
      <x:c r="R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 s="14"/>
      <x:c r="M96"/>
      <x:c r="N96"/>
      <x:c r="O96"/>
      <x:c r="P96"/>
      <x:c r="Q96" s="13" t="str">
        <x:f>IF(B96="","",IF(OR(C96="Sem movimento",C96="Inativo",C96="Encerrado"),'07_Regras_Complexidade'!$E$5,IF(COUNT(M96:P96)&lt;4,'07_Regras_Complexidade'!$E$17,IF(SUM(M96:P96)&lt;='07_Regras_Complexidade'!$D$6,'07_Regras_Complexidade'!$E$6,IF(SUM(M96:P96)&lt;='07_Regras_Complexidade'!$D$7,'07_Regras_Complexidade'!$E$7,IF(SUM(M96:P96)&lt;='07_Regras_Complexidade'!$D$8,'07_Regras_Complexidade'!$E$8,IF(SUM(M96:P96)&lt;='07_Regras_Complexidade'!$D$9,'07_Regras_Complexidade'!$E$9,'07_Regras_Complexidade'!$E$10)))))))</x:f>
      </x:c>
      <x:c r="R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 s="14"/>
      <x:c r="M97"/>
      <x:c r="N97"/>
      <x:c r="O97"/>
      <x:c r="P97"/>
      <x:c r="Q97" s="13" t="str">
        <x:f>IF(B97="","",IF(OR(C97="Sem movimento",C97="Inativo",C97="Encerrado"),'07_Regras_Complexidade'!$E$5,IF(COUNT(M97:P97)&lt;4,'07_Regras_Complexidade'!$E$17,IF(SUM(M97:P97)&lt;='07_Regras_Complexidade'!$D$6,'07_Regras_Complexidade'!$E$6,IF(SUM(M97:P97)&lt;='07_Regras_Complexidade'!$D$7,'07_Regras_Complexidade'!$E$7,IF(SUM(M97:P97)&lt;='07_Regras_Complexidade'!$D$8,'07_Regras_Complexidade'!$E$8,IF(SUM(M97:P97)&lt;='07_Regras_Complexidade'!$D$9,'07_Regras_Complexidade'!$E$9,'07_Regras_Complexidade'!$E$10)))))))</x:f>
      </x:c>
      <x:c r="R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 s="14"/>
      <x:c r="M98"/>
      <x:c r="N98"/>
      <x:c r="O98"/>
      <x:c r="P98"/>
      <x:c r="Q98" s="13" t="str">
        <x:f>IF(B98="","",IF(OR(C98="Sem movimento",C98="Inativo",C98="Encerrado"),'07_Regras_Complexidade'!$E$5,IF(COUNT(M98:P98)&lt;4,'07_Regras_Complexidade'!$E$17,IF(SUM(M98:P98)&lt;='07_Regras_Complexidade'!$D$6,'07_Regras_Complexidade'!$E$6,IF(SUM(M98:P98)&lt;='07_Regras_Complexidade'!$D$7,'07_Regras_Complexidade'!$E$7,IF(SUM(M98:P98)&lt;='07_Regras_Complexidade'!$D$8,'07_Regras_Complexidade'!$E$8,IF(SUM(M98:P98)&lt;='07_Regras_Complexidade'!$D$9,'07_Regras_Complexidade'!$E$9,'07_Regras_Complexidade'!$E$10)))))))</x:f>
      </x:c>
      <x:c r="R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 s="14"/>
      <x:c r="M99"/>
      <x:c r="N99"/>
      <x:c r="O99"/>
      <x:c r="P99"/>
      <x:c r="Q99" s="13" t="str">
        <x:f>IF(B99="","",IF(OR(C99="Sem movimento",C99="Inativo",C99="Encerrado"),'07_Regras_Complexidade'!$E$5,IF(COUNT(M99:P99)&lt;4,'07_Regras_Complexidade'!$E$17,IF(SUM(M99:P99)&lt;='07_Regras_Complexidade'!$D$6,'07_Regras_Complexidade'!$E$6,IF(SUM(M99:P99)&lt;='07_Regras_Complexidade'!$D$7,'07_Regras_Complexidade'!$E$7,IF(SUM(M99:P99)&lt;='07_Regras_Complexidade'!$D$8,'07_Regras_Complexidade'!$E$8,IF(SUM(M99:P99)&lt;='07_Regras_Complexidade'!$D$9,'07_Regras_Complexidade'!$E$9,'07_Regras_Complexidade'!$E$10)))))))</x:f>
      </x:c>
      <x:c r="R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 s="14"/>
      <x:c r="M100"/>
      <x:c r="N100"/>
      <x:c r="O100"/>
      <x:c r="P100"/>
      <x:c r="Q100" s="13" t="str">
        <x:f>IF(B100="","",IF(OR(C100="Sem movimento",C100="Inativo",C100="Encerrado"),'07_Regras_Complexidade'!$E$5,IF(COUNT(M100:P100)&lt;4,'07_Regras_Complexidade'!$E$17,IF(SUM(M100:P100)&lt;='07_Regras_Complexidade'!$D$6,'07_Regras_Complexidade'!$E$6,IF(SUM(M100:P100)&lt;='07_Regras_Complexidade'!$D$7,'07_Regras_Complexidade'!$E$7,IF(SUM(M100:P100)&lt;='07_Regras_Complexidade'!$D$8,'07_Regras_Complexidade'!$E$8,IF(SUM(M100:P100)&lt;='07_Regras_Complexidade'!$D$9,'07_Regras_Complexidade'!$E$9,'07_Regras_Complexidade'!$E$10)))))))</x:f>
      </x:c>
      <x:c r="R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 s="14"/>
      <x:c r="M101"/>
      <x:c r="N101"/>
      <x:c r="O101"/>
      <x:c r="P101"/>
      <x:c r="Q101" s="13" t="str">
        <x:f>IF(B101="","",IF(OR(C101="Sem movimento",C101="Inativo",C101="Encerrado"),'07_Regras_Complexidade'!$E$5,IF(COUNT(M101:P101)&lt;4,'07_Regras_Complexidade'!$E$17,IF(SUM(M101:P101)&lt;='07_Regras_Complexidade'!$D$6,'07_Regras_Complexidade'!$E$6,IF(SUM(M101:P101)&lt;='07_Regras_Complexidade'!$D$7,'07_Regras_Complexidade'!$E$7,IF(SUM(M101:P101)&lt;='07_Regras_Complexidade'!$D$8,'07_Regras_Complexidade'!$E$8,IF(SUM(M101:P101)&lt;='07_Regras_Complexidade'!$D$9,'07_Regras_Complexidade'!$E$9,'07_Regras_Complexidade'!$E$10)))))))</x:f>
      </x:c>
      <x:c r="R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 s="14"/>
      <x:c r="M102"/>
      <x:c r="N102"/>
      <x:c r="O102"/>
      <x:c r="P102"/>
      <x:c r="Q102" s="13" t="str">
        <x:f>IF(B102="","",IF(OR(C102="Sem movimento",C102="Inativo",C102="Encerrado"),'07_Regras_Complexidade'!$E$5,IF(COUNT(M102:P102)&lt;4,'07_Regras_Complexidade'!$E$17,IF(SUM(M102:P102)&lt;='07_Regras_Complexidade'!$D$6,'07_Regras_Complexidade'!$E$6,IF(SUM(M102:P102)&lt;='07_Regras_Complexidade'!$D$7,'07_Regras_Complexidade'!$E$7,IF(SUM(M102:P102)&lt;='07_Regras_Complexidade'!$D$8,'07_Regras_Complexidade'!$E$8,IF(SUM(M102:P102)&lt;='07_Regras_Complexidade'!$D$9,'07_Regras_Complexidade'!$E$9,'07_Regras_Complexidade'!$E$10)))))))</x:f>
      </x:c>
      <x:c r="R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 s="14"/>
      <x:c r="M103"/>
      <x:c r="N103"/>
      <x:c r="O103"/>
      <x:c r="P103"/>
      <x:c r="Q103" s="13" t="str">
        <x:f>IF(B103="","",IF(OR(C103="Sem movimento",C103="Inativo",C103="Encerrado"),'07_Regras_Complexidade'!$E$5,IF(COUNT(M103:P103)&lt;4,'07_Regras_Complexidade'!$E$17,IF(SUM(M103:P103)&lt;='07_Regras_Complexidade'!$D$6,'07_Regras_Complexidade'!$E$6,IF(SUM(M103:P103)&lt;='07_Regras_Complexidade'!$D$7,'07_Regras_Complexidade'!$E$7,IF(SUM(M103:P103)&lt;='07_Regras_Complexidade'!$D$8,'07_Regras_Complexidade'!$E$8,IF(SUM(M103:P103)&lt;='07_Regras_Complexidade'!$D$9,'07_Regras_Complexidade'!$E$9,'07_Regras_Complexidade'!$E$10)))))))</x:f>
      </x:c>
      <x:c r="R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 s="14"/>
      <x:c r="M104"/>
      <x:c r="N104"/>
      <x:c r="O104"/>
      <x:c r="P104"/>
      <x:c r="Q104" s="13" t="str">
        <x:f>IF(B104="","",IF(OR(C104="Sem movimento",C104="Inativo",C104="Encerrado"),'07_Regras_Complexidade'!$E$5,IF(COUNT(M104:P104)&lt;4,'07_Regras_Complexidade'!$E$17,IF(SUM(M104:P104)&lt;='07_Regras_Complexidade'!$D$6,'07_Regras_Complexidade'!$E$6,IF(SUM(M104:P104)&lt;='07_Regras_Complexidade'!$D$7,'07_Regras_Complexidade'!$E$7,IF(SUM(M104:P104)&lt;='07_Regras_Complexidade'!$D$8,'07_Regras_Complexidade'!$E$8,IF(SUM(M104:P104)&lt;='07_Regras_Complexidade'!$D$9,'07_Regras_Complexidade'!$E$9,'07_Regras_Complexidade'!$E$10)))))))</x:f>
      </x:c>
      <x:c r="R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 s="14"/>
      <x:c r="M105"/>
      <x:c r="N105"/>
      <x:c r="O105"/>
      <x:c r="P105"/>
      <x:c r="Q105" s="13" t="str">
        <x:f>IF(B105="","",IF(OR(C105="Sem movimento",C105="Inativo",C105="Encerrado"),'07_Regras_Complexidade'!$E$5,IF(COUNT(M105:P105)&lt;4,'07_Regras_Complexidade'!$E$17,IF(SUM(M105:P105)&lt;='07_Regras_Complexidade'!$D$6,'07_Regras_Complexidade'!$E$6,IF(SUM(M105:P105)&lt;='07_Regras_Complexidade'!$D$7,'07_Regras_Complexidade'!$E$7,IF(SUM(M105:P105)&lt;='07_Regras_Complexidade'!$D$8,'07_Regras_Complexidade'!$E$8,IF(SUM(M105:P105)&lt;='07_Regras_Complexidade'!$D$9,'07_Regras_Complexidade'!$E$9,'07_Regras_Complexidade'!$E$10)))))))</x:f>
      </x:c>
      <x:c r="R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 s="14"/>
      <x:c r="M106"/>
      <x:c r="N106"/>
      <x:c r="O106"/>
      <x:c r="P106"/>
      <x:c r="Q106" s="13" t="str">
        <x:f>IF(B106="","",IF(OR(C106="Sem movimento",C106="Inativo",C106="Encerrado"),'07_Regras_Complexidade'!$E$5,IF(COUNT(M106:P106)&lt;4,'07_Regras_Complexidade'!$E$17,IF(SUM(M106:P106)&lt;='07_Regras_Complexidade'!$D$6,'07_Regras_Complexidade'!$E$6,IF(SUM(M106:P106)&lt;='07_Regras_Complexidade'!$D$7,'07_Regras_Complexidade'!$E$7,IF(SUM(M106:P106)&lt;='07_Regras_Complexidade'!$D$8,'07_Regras_Complexidade'!$E$8,IF(SUM(M106:P106)&lt;='07_Regras_Complexidade'!$D$9,'07_Regras_Complexidade'!$E$9,'07_Regras_Complexidade'!$E$10)))))))</x:f>
      </x:c>
      <x:c r="R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 s="14"/>
      <x:c r="M107"/>
      <x:c r="N107"/>
      <x:c r="O107"/>
      <x:c r="P107"/>
      <x:c r="Q107" s="13" t="str">
        <x:f>IF(B107="","",IF(OR(C107="Sem movimento",C107="Inativo",C107="Encerrado"),'07_Regras_Complexidade'!$E$5,IF(COUNT(M107:P107)&lt;4,'07_Regras_Complexidade'!$E$17,IF(SUM(M107:P107)&lt;='07_Regras_Complexidade'!$D$6,'07_Regras_Complexidade'!$E$6,IF(SUM(M107:P107)&lt;='07_Regras_Complexidade'!$D$7,'07_Regras_Complexidade'!$E$7,IF(SUM(M107:P107)&lt;='07_Regras_Complexidade'!$D$8,'07_Regras_Complexidade'!$E$8,IF(SUM(M107:P107)&lt;='07_Regras_Complexidade'!$D$9,'07_Regras_Complexidade'!$E$9,'07_Regras_Complexidade'!$E$10)))))))</x:f>
      </x:c>
      <x:c r="R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 s="14"/>
      <x:c r="M108"/>
      <x:c r="N108"/>
      <x:c r="O108"/>
      <x:c r="P108"/>
      <x:c r="Q108" s="13" t="str">
        <x:f>IF(B108="","",IF(OR(C108="Sem movimento",C108="Inativo",C108="Encerrado"),'07_Regras_Complexidade'!$E$5,IF(COUNT(M108:P108)&lt;4,'07_Regras_Complexidade'!$E$17,IF(SUM(M108:P108)&lt;='07_Regras_Complexidade'!$D$6,'07_Regras_Complexidade'!$E$6,IF(SUM(M108:P108)&lt;='07_Regras_Complexidade'!$D$7,'07_Regras_Complexidade'!$E$7,IF(SUM(M108:P108)&lt;='07_Regras_Complexidade'!$D$8,'07_Regras_Complexidade'!$E$8,IF(SUM(M108:P108)&lt;='07_Regras_Complexidade'!$D$9,'07_Regras_Complexidade'!$E$9,'07_Regras_Complexidade'!$E$10)))))))</x:f>
      </x:c>
      <x:c r="R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 s="14"/>
      <x:c r="M109"/>
      <x:c r="N109"/>
      <x:c r="O109"/>
      <x:c r="P109"/>
      <x:c r="Q109" s="13" t="str">
        <x:f>IF(B109="","",IF(OR(C109="Sem movimento",C109="Inativo",C109="Encerrado"),'07_Regras_Complexidade'!$E$5,IF(COUNT(M109:P109)&lt;4,'07_Regras_Complexidade'!$E$17,IF(SUM(M109:P109)&lt;='07_Regras_Complexidade'!$D$6,'07_Regras_Complexidade'!$E$6,IF(SUM(M109:P109)&lt;='07_Regras_Complexidade'!$D$7,'07_Regras_Complexidade'!$E$7,IF(SUM(M109:P109)&lt;='07_Regras_Complexidade'!$D$8,'07_Regras_Complexidade'!$E$8,IF(SUM(M109:P109)&lt;='07_Regras_Complexidade'!$D$9,'07_Regras_Complexidade'!$E$9,'07_Regras_Complexidade'!$E$10)))))))</x:f>
      </x:c>
      <x:c r="R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 s="14"/>
      <x:c r="M110"/>
      <x:c r="N110"/>
      <x:c r="O110"/>
      <x:c r="P110"/>
      <x:c r="Q110" s="13" t="str">
        <x:f>IF(B110="","",IF(OR(C110="Sem movimento",C110="Inativo",C110="Encerrado"),'07_Regras_Complexidade'!$E$5,IF(COUNT(M110:P110)&lt;4,'07_Regras_Complexidade'!$E$17,IF(SUM(M110:P110)&lt;='07_Regras_Complexidade'!$D$6,'07_Regras_Complexidade'!$E$6,IF(SUM(M110:P110)&lt;='07_Regras_Complexidade'!$D$7,'07_Regras_Complexidade'!$E$7,IF(SUM(M110:P110)&lt;='07_Regras_Complexidade'!$D$8,'07_Regras_Complexidade'!$E$8,IF(SUM(M110:P110)&lt;='07_Regras_Complexidade'!$D$9,'07_Regras_Complexidade'!$E$9,'07_Regras_Complexidade'!$E$10)))))))</x:f>
      </x:c>
      <x:c r="R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 s="14"/>
      <x:c r="M111"/>
      <x:c r="N111"/>
      <x:c r="O111"/>
      <x:c r="P111"/>
      <x:c r="Q111" s="13" t="str">
        <x:f>IF(B111="","",IF(OR(C111="Sem movimento",C111="Inativo",C111="Encerrado"),'07_Regras_Complexidade'!$E$5,IF(COUNT(M111:P111)&lt;4,'07_Regras_Complexidade'!$E$17,IF(SUM(M111:P111)&lt;='07_Regras_Complexidade'!$D$6,'07_Regras_Complexidade'!$E$6,IF(SUM(M111:P111)&lt;='07_Regras_Complexidade'!$D$7,'07_Regras_Complexidade'!$E$7,IF(SUM(M111:P111)&lt;='07_Regras_Complexidade'!$D$8,'07_Regras_Complexidade'!$E$8,IF(SUM(M111:P111)&lt;='07_Regras_Complexidade'!$D$9,'07_Regras_Complexidade'!$E$9,'07_Regras_Complexidade'!$E$10)))))))</x:f>
      </x:c>
      <x:c r="R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 s="14"/>
      <x:c r="M112"/>
      <x:c r="N112"/>
      <x:c r="O112"/>
      <x:c r="P112"/>
      <x:c r="Q112" s="13" t="str">
        <x:f>IF(B112="","",IF(OR(C112="Sem movimento",C112="Inativo",C112="Encerrado"),'07_Regras_Complexidade'!$E$5,IF(COUNT(M112:P112)&lt;4,'07_Regras_Complexidade'!$E$17,IF(SUM(M112:P112)&lt;='07_Regras_Complexidade'!$D$6,'07_Regras_Complexidade'!$E$6,IF(SUM(M112:P112)&lt;='07_Regras_Complexidade'!$D$7,'07_Regras_Complexidade'!$E$7,IF(SUM(M112:P112)&lt;='07_Regras_Complexidade'!$D$8,'07_Regras_Complexidade'!$E$8,IF(SUM(M112:P112)&lt;='07_Regras_Complexidade'!$D$9,'07_Regras_Complexidade'!$E$9,'07_Regras_Complexidade'!$E$10)))))))</x:f>
      </x:c>
      <x:c r="R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 s="14"/>
      <x:c r="M113"/>
      <x:c r="N113"/>
      <x:c r="O113"/>
      <x:c r="P113"/>
      <x:c r="Q113" s="13" t="str">
        <x:f>IF(B113="","",IF(OR(C113="Sem movimento",C113="Inativo",C113="Encerrado"),'07_Regras_Complexidade'!$E$5,IF(COUNT(M113:P113)&lt;4,'07_Regras_Complexidade'!$E$17,IF(SUM(M113:P113)&lt;='07_Regras_Complexidade'!$D$6,'07_Regras_Complexidade'!$E$6,IF(SUM(M113:P113)&lt;='07_Regras_Complexidade'!$D$7,'07_Regras_Complexidade'!$E$7,IF(SUM(M113:P113)&lt;='07_Regras_Complexidade'!$D$8,'07_Regras_Complexidade'!$E$8,IF(SUM(M113:P113)&lt;='07_Regras_Complexidade'!$D$9,'07_Regras_Complexidade'!$E$9,'07_Regras_Complexidade'!$E$10)))))))</x:f>
      </x:c>
      <x:c r="R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 s="14"/>
      <x:c r="M114"/>
      <x:c r="N114"/>
      <x:c r="O114"/>
      <x:c r="P114"/>
      <x:c r="Q114" s="13" t="str">
        <x:f>IF(B114="","",IF(OR(C114="Sem movimento",C114="Inativo",C114="Encerrado"),'07_Regras_Complexidade'!$E$5,IF(COUNT(M114:P114)&lt;4,'07_Regras_Complexidade'!$E$17,IF(SUM(M114:P114)&lt;='07_Regras_Complexidade'!$D$6,'07_Regras_Complexidade'!$E$6,IF(SUM(M114:P114)&lt;='07_Regras_Complexidade'!$D$7,'07_Regras_Complexidade'!$E$7,IF(SUM(M114:P114)&lt;='07_Regras_Complexidade'!$D$8,'07_Regras_Complexidade'!$E$8,IF(SUM(M114:P114)&lt;='07_Regras_Complexidade'!$D$9,'07_Regras_Complexidade'!$E$9,'07_Regras_Complexidade'!$E$10)))))))</x:f>
      </x:c>
      <x:c r="R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 s="14"/>
      <x:c r="M115"/>
      <x:c r="N115"/>
      <x:c r="O115"/>
      <x:c r="P115"/>
      <x:c r="Q115" s="13" t="str">
        <x:f>IF(B115="","",IF(OR(C115="Sem movimento",C115="Inativo",C115="Encerrado"),'07_Regras_Complexidade'!$E$5,IF(COUNT(M115:P115)&lt;4,'07_Regras_Complexidade'!$E$17,IF(SUM(M115:P115)&lt;='07_Regras_Complexidade'!$D$6,'07_Regras_Complexidade'!$E$6,IF(SUM(M115:P115)&lt;='07_Regras_Complexidade'!$D$7,'07_Regras_Complexidade'!$E$7,IF(SUM(M115:P115)&lt;='07_Regras_Complexidade'!$D$8,'07_Regras_Complexidade'!$E$8,IF(SUM(M115:P115)&lt;='07_Regras_Complexidade'!$D$9,'07_Regras_Complexidade'!$E$9,'07_Regras_Complexidade'!$E$10)))))))</x:f>
      </x:c>
      <x:c r="R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 s="14"/>
      <x:c r="M116"/>
      <x:c r="N116"/>
      <x:c r="O116"/>
      <x:c r="P116"/>
      <x:c r="Q116" s="13" t="str">
        <x:f>IF(B116="","",IF(OR(C116="Sem movimento",C116="Inativo",C116="Encerrado"),'07_Regras_Complexidade'!$E$5,IF(COUNT(M116:P116)&lt;4,'07_Regras_Complexidade'!$E$17,IF(SUM(M116:P116)&lt;='07_Regras_Complexidade'!$D$6,'07_Regras_Complexidade'!$E$6,IF(SUM(M116:P116)&lt;='07_Regras_Complexidade'!$D$7,'07_Regras_Complexidade'!$E$7,IF(SUM(M116:P116)&lt;='07_Regras_Complexidade'!$D$8,'07_Regras_Complexidade'!$E$8,IF(SUM(M116:P116)&lt;='07_Regras_Complexidade'!$D$9,'07_Regras_Complexidade'!$E$9,'07_Regras_Complexidade'!$E$10)))))))</x:f>
      </x:c>
      <x:c r="R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 s="14"/>
      <x:c r="M117"/>
      <x:c r="N117"/>
      <x:c r="O117"/>
      <x:c r="P117"/>
      <x:c r="Q117" s="13" t="str">
        <x:f>IF(B117="","",IF(OR(C117="Sem movimento",C117="Inativo",C117="Encerrado"),'07_Regras_Complexidade'!$E$5,IF(COUNT(M117:P117)&lt;4,'07_Regras_Complexidade'!$E$17,IF(SUM(M117:P117)&lt;='07_Regras_Complexidade'!$D$6,'07_Regras_Complexidade'!$E$6,IF(SUM(M117:P117)&lt;='07_Regras_Complexidade'!$D$7,'07_Regras_Complexidade'!$E$7,IF(SUM(M117:P117)&lt;='07_Regras_Complexidade'!$D$8,'07_Regras_Complexidade'!$E$8,IF(SUM(M117:P117)&lt;='07_Regras_Complexidade'!$D$9,'07_Regras_Complexidade'!$E$9,'07_Regras_Complexidade'!$E$10)))))))</x:f>
      </x:c>
      <x:c r="R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 s="14"/>
      <x:c r="M118"/>
      <x:c r="N118"/>
      <x:c r="O118"/>
      <x:c r="P118"/>
      <x:c r="Q118" s="13" t="str">
        <x:f>IF(B118="","",IF(OR(C118="Sem movimento",C118="Inativo",C118="Encerrado"),'07_Regras_Complexidade'!$E$5,IF(COUNT(M118:P118)&lt;4,'07_Regras_Complexidade'!$E$17,IF(SUM(M118:P118)&lt;='07_Regras_Complexidade'!$D$6,'07_Regras_Complexidade'!$E$6,IF(SUM(M118:P118)&lt;='07_Regras_Complexidade'!$D$7,'07_Regras_Complexidade'!$E$7,IF(SUM(M118:P118)&lt;='07_Regras_Complexidade'!$D$8,'07_Regras_Complexidade'!$E$8,IF(SUM(M118:P118)&lt;='07_Regras_Complexidade'!$D$9,'07_Regras_Complexidade'!$E$9,'07_Regras_Complexidade'!$E$10)))))))</x:f>
      </x:c>
      <x:c r="R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 s="14"/>
      <x:c r="M119"/>
      <x:c r="N119"/>
      <x:c r="O119"/>
      <x:c r="P119"/>
      <x:c r="Q119" s="13" t="str">
        <x:f>IF(B119="","",IF(OR(C119="Sem movimento",C119="Inativo",C119="Encerrado"),'07_Regras_Complexidade'!$E$5,IF(COUNT(M119:P119)&lt;4,'07_Regras_Complexidade'!$E$17,IF(SUM(M119:P119)&lt;='07_Regras_Complexidade'!$D$6,'07_Regras_Complexidade'!$E$6,IF(SUM(M119:P119)&lt;='07_Regras_Complexidade'!$D$7,'07_Regras_Complexidade'!$E$7,IF(SUM(M119:P119)&lt;='07_Regras_Complexidade'!$D$8,'07_Regras_Complexidade'!$E$8,IF(SUM(M119:P119)&lt;='07_Regras_Complexidade'!$D$9,'07_Regras_Complexidade'!$E$9,'07_Regras_Complexidade'!$E$10)))))))</x:f>
      </x:c>
      <x:c r="R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 s="14"/>
      <x:c r="M120"/>
      <x:c r="N120"/>
      <x:c r="O120"/>
      <x:c r="P120"/>
      <x:c r="Q120" s="13" t="str">
        <x:f>IF(B120="","",IF(OR(C120="Sem movimento",C120="Inativo",C120="Encerrado"),'07_Regras_Complexidade'!$E$5,IF(COUNT(M120:P120)&lt;4,'07_Regras_Complexidade'!$E$17,IF(SUM(M120:P120)&lt;='07_Regras_Complexidade'!$D$6,'07_Regras_Complexidade'!$E$6,IF(SUM(M120:P120)&lt;='07_Regras_Complexidade'!$D$7,'07_Regras_Complexidade'!$E$7,IF(SUM(M120:P120)&lt;='07_Regras_Complexidade'!$D$8,'07_Regras_Complexidade'!$E$8,IF(SUM(M120:P120)&lt;='07_Regras_Complexidade'!$D$9,'07_Regras_Complexidade'!$E$9,'07_Regras_Complexidade'!$E$10)))))))</x:f>
      </x:c>
      <x:c r="R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 s="14"/>
      <x:c r="M121"/>
      <x:c r="N121"/>
      <x:c r="O121"/>
      <x:c r="P121"/>
      <x:c r="Q121" s="13" t="str">
        <x:f>IF(B121="","",IF(OR(C121="Sem movimento",C121="Inativo",C121="Encerrado"),'07_Regras_Complexidade'!$E$5,IF(COUNT(M121:P121)&lt;4,'07_Regras_Complexidade'!$E$17,IF(SUM(M121:P121)&lt;='07_Regras_Complexidade'!$D$6,'07_Regras_Complexidade'!$E$6,IF(SUM(M121:P121)&lt;='07_Regras_Complexidade'!$D$7,'07_Regras_Complexidade'!$E$7,IF(SUM(M121:P121)&lt;='07_Regras_Complexidade'!$D$8,'07_Regras_Complexidade'!$E$8,IF(SUM(M121:P121)&lt;='07_Regras_Complexidade'!$D$9,'07_Regras_Complexidade'!$E$9,'07_Regras_Complexidade'!$E$10)))))))</x:f>
      </x:c>
      <x:c r="R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 s="14"/>
      <x:c r="M122"/>
      <x:c r="N122"/>
      <x:c r="O122"/>
      <x:c r="P122"/>
      <x:c r="Q122" s="13" t="str">
        <x:f>IF(B122="","",IF(OR(C122="Sem movimento",C122="Inativo",C122="Encerrado"),'07_Regras_Complexidade'!$E$5,IF(COUNT(M122:P122)&lt;4,'07_Regras_Complexidade'!$E$17,IF(SUM(M122:P122)&lt;='07_Regras_Complexidade'!$D$6,'07_Regras_Complexidade'!$E$6,IF(SUM(M122:P122)&lt;='07_Regras_Complexidade'!$D$7,'07_Regras_Complexidade'!$E$7,IF(SUM(M122:P122)&lt;='07_Regras_Complexidade'!$D$8,'07_Regras_Complexidade'!$E$8,IF(SUM(M122:P122)&lt;='07_Regras_Complexidade'!$D$9,'07_Regras_Complexidade'!$E$9,'07_Regras_Complexidade'!$E$10)))))))</x:f>
      </x:c>
      <x:c r="R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 s="14"/>
      <x:c r="M123"/>
      <x:c r="N123"/>
      <x:c r="O123"/>
      <x:c r="P123"/>
      <x:c r="Q123" s="13" t="str">
        <x:f>IF(B123="","",IF(OR(C123="Sem movimento",C123="Inativo",C123="Encerrado"),'07_Regras_Complexidade'!$E$5,IF(COUNT(M123:P123)&lt;4,'07_Regras_Complexidade'!$E$17,IF(SUM(M123:P123)&lt;='07_Regras_Complexidade'!$D$6,'07_Regras_Complexidade'!$E$6,IF(SUM(M123:P123)&lt;='07_Regras_Complexidade'!$D$7,'07_Regras_Complexidade'!$E$7,IF(SUM(M123:P123)&lt;='07_Regras_Complexidade'!$D$8,'07_Regras_Complexidade'!$E$8,IF(SUM(M123:P123)&lt;='07_Regras_Complexidade'!$D$9,'07_Regras_Complexidade'!$E$9,'07_Regras_Complexidade'!$E$10)))))))</x:f>
      </x:c>
      <x:c r="R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 s="14"/>
      <x:c r="M124"/>
      <x:c r="N124"/>
      <x:c r="O124"/>
      <x:c r="P124"/>
      <x:c r="Q124" s="13" t="str">
        <x:f>IF(B124="","",IF(OR(C124="Sem movimento",C124="Inativo",C124="Encerrado"),'07_Regras_Complexidade'!$E$5,IF(COUNT(M124:P124)&lt;4,'07_Regras_Complexidade'!$E$17,IF(SUM(M124:P124)&lt;='07_Regras_Complexidade'!$D$6,'07_Regras_Complexidade'!$E$6,IF(SUM(M124:P124)&lt;='07_Regras_Complexidade'!$D$7,'07_Regras_Complexidade'!$E$7,IF(SUM(M124:P124)&lt;='07_Regras_Complexidade'!$D$8,'07_Regras_Complexidade'!$E$8,IF(SUM(M124:P124)&lt;='07_Regras_Complexidade'!$D$9,'07_Regras_Complexidade'!$E$9,'07_Regras_Complexidade'!$E$10)))))))</x:f>
      </x:c>
      <x:c r="R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 s="14"/>
      <x:c r="M125"/>
      <x:c r="N125"/>
      <x:c r="O125"/>
      <x:c r="P125"/>
      <x:c r="Q125" s="13" t="str">
        <x:f>IF(B125="","",IF(OR(C125="Sem movimento",C125="Inativo",C125="Encerrado"),'07_Regras_Complexidade'!$E$5,IF(COUNT(M125:P125)&lt;4,'07_Regras_Complexidade'!$E$17,IF(SUM(M125:P125)&lt;='07_Regras_Complexidade'!$D$6,'07_Regras_Complexidade'!$E$6,IF(SUM(M125:P125)&lt;='07_Regras_Complexidade'!$D$7,'07_Regras_Complexidade'!$E$7,IF(SUM(M125:P125)&lt;='07_Regras_Complexidade'!$D$8,'07_Regras_Complexidade'!$E$8,IF(SUM(M125:P125)&lt;='07_Regras_Complexidade'!$D$9,'07_Regras_Complexidade'!$E$9,'07_Regras_Complexidade'!$E$10)))))))</x:f>
      </x:c>
      <x:c r="R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 s="14"/>
      <x:c r="M126"/>
      <x:c r="N126"/>
      <x:c r="O126"/>
      <x:c r="P126"/>
      <x:c r="Q126" s="13" t="str">
        <x:f>IF(B126="","",IF(OR(C126="Sem movimento",C126="Inativo",C126="Encerrado"),'07_Regras_Complexidade'!$E$5,IF(COUNT(M126:P126)&lt;4,'07_Regras_Complexidade'!$E$17,IF(SUM(M126:P126)&lt;='07_Regras_Complexidade'!$D$6,'07_Regras_Complexidade'!$E$6,IF(SUM(M126:P126)&lt;='07_Regras_Complexidade'!$D$7,'07_Regras_Complexidade'!$E$7,IF(SUM(M126:P126)&lt;='07_Regras_Complexidade'!$D$8,'07_Regras_Complexidade'!$E$8,IF(SUM(M126:P126)&lt;='07_Regras_Complexidade'!$D$9,'07_Regras_Complexidade'!$E$9,'07_Regras_Complexidade'!$E$10)))))))</x:f>
      </x:c>
      <x:c r="R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 s="14"/>
      <x:c r="M127"/>
      <x:c r="N127"/>
      <x:c r="O127"/>
      <x:c r="P127"/>
      <x:c r="Q127" s="13" t="str">
        <x:f>IF(B127="","",IF(OR(C127="Sem movimento",C127="Inativo",C127="Encerrado"),'07_Regras_Complexidade'!$E$5,IF(COUNT(M127:P127)&lt;4,'07_Regras_Complexidade'!$E$17,IF(SUM(M127:P127)&lt;='07_Regras_Complexidade'!$D$6,'07_Regras_Complexidade'!$E$6,IF(SUM(M127:P127)&lt;='07_Regras_Complexidade'!$D$7,'07_Regras_Complexidade'!$E$7,IF(SUM(M127:P127)&lt;='07_Regras_Complexidade'!$D$8,'07_Regras_Complexidade'!$E$8,IF(SUM(M127:P127)&lt;='07_Regras_Complexidade'!$D$9,'07_Regras_Complexidade'!$E$9,'07_Regras_Complexidade'!$E$10)))))))</x:f>
      </x:c>
      <x:c r="R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 s="14"/>
      <x:c r="M128"/>
      <x:c r="N128"/>
      <x:c r="O128"/>
      <x:c r="P128"/>
      <x:c r="Q128" s="13" t="str">
        <x:f>IF(B128="","",IF(OR(C128="Sem movimento",C128="Inativo",C128="Encerrado"),'07_Regras_Complexidade'!$E$5,IF(COUNT(M128:P128)&lt;4,'07_Regras_Complexidade'!$E$17,IF(SUM(M128:P128)&lt;='07_Regras_Complexidade'!$D$6,'07_Regras_Complexidade'!$E$6,IF(SUM(M128:P128)&lt;='07_Regras_Complexidade'!$D$7,'07_Regras_Complexidade'!$E$7,IF(SUM(M128:P128)&lt;='07_Regras_Complexidade'!$D$8,'07_Regras_Complexidade'!$E$8,IF(SUM(M128:P128)&lt;='07_Regras_Complexidade'!$D$9,'07_Regras_Complexidade'!$E$9,'07_Regras_Complexidade'!$E$10)))))))</x:f>
      </x:c>
      <x:c r="R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 s="14"/>
      <x:c r="M129"/>
      <x:c r="N129"/>
      <x:c r="O129"/>
      <x:c r="P129"/>
      <x:c r="Q129" s="13" t="str">
        <x:f>IF(B129="","",IF(OR(C129="Sem movimento",C129="Inativo",C129="Encerrado"),'07_Regras_Complexidade'!$E$5,IF(COUNT(M129:P129)&lt;4,'07_Regras_Complexidade'!$E$17,IF(SUM(M129:P129)&lt;='07_Regras_Complexidade'!$D$6,'07_Regras_Complexidade'!$E$6,IF(SUM(M129:P129)&lt;='07_Regras_Complexidade'!$D$7,'07_Regras_Complexidade'!$E$7,IF(SUM(M129:P129)&lt;='07_Regras_Complexidade'!$D$8,'07_Regras_Complexidade'!$E$8,IF(SUM(M129:P129)&lt;='07_Regras_Complexidade'!$D$9,'07_Regras_Complexidade'!$E$9,'07_Regras_Complexidade'!$E$10)))))))</x:f>
      </x:c>
      <x:c r="R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 s="14"/>
      <x:c r="M130"/>
      <x:c r="N130"/>
      <x:c r="O130"/>
      <x:c r="P130"/>
      <x:c r="Q130" s="13" t="str">
        <x:f>IF(B130="","",IF(OR(C130="Sem movimento",C130="Inativo",C130="Encerrado"),'07_Regras_Complexidade'!$E$5,IF(COUNT(M130:P130)&lt;4,'07_Regras_Complexidade'!$E$17,IF(SUM(M130:P130)&lt;='07_Regras_Complexidade'!$D$6,'07_Regras_Complexidade'!$E$6,IF(SUM(M130:P130)&lt;='07_Regras_Complexidade'!$D$7,'07_Regras_Complexidade'!$E$7,IF(SUM(M130:P130)&lt;='07_Regras_Complexidade'!$D$8,'07_Regras_Complexidade'!$E$8,IF(SUM(M130:P130)&lt;='07_Regras_Complexidade'!$D$9,'07_Regras_Complexidade'!$E$9,'07_Regras_Complexidade'!$E$10)))))))</x:f>
      </x:c>
      <x:c r="R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 s="14"/>
      <x:c r="M131"/>
      <x:c r="N131"/>
      <x:c r="O131"/>
      <x:c r="P131"/>
      <x:c r="Q131" s="13" t="str">
        <x:f>IF(B131="","",IF(OR(C131="Sem movimento",C131="Inativo",C131="Encerrado"),'07_Regras_Complexidade'!$E$5,IF(COUNT(M131:P131)&lt;4,'07_Regras_Complexidade'!$E$17,IF(SUM(M131:P131)&lt;='07_Regras_Complexidade'!$D$6,'07_Regras_Complexidade'!$E$6,IF(SUM(M131:P131)&lt;='07_Regras_Complexidade'!$D$7,'07_Regras_Complexidade'!$E$7,IF(SUM(M131:P131)&lt;='07_Regras_Complexidade'!$D$8,'07_Regras_Complexidade'!$E$8,IF(SUM(M131:P131)&lt;='07_Regras_Complexidade'!$D$9,'07_Regras_Complexidade'!$E$9,'07_Regras_Complexidade'!$E$10)))))))</x:f>
      </x:c>
      <x:c r="R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 s="14"/>
      <x:c r="M132"/>
      <x:c r="N132"/>
      <x:c r="O132"/>
      <x:c r="P132"/>
      <x:c r="Q132" s="13" t="str">
        <x:f>IF(B132="","",IF(OR(C132="Sem movimento",C132="Inativo",C132="Encerrado"),'07_Regras_Complexidade'!$E$5,IF(COUNT(M132:P132)&lt;4,'07_Regras_Complexidade'!$E$17,IF(SUM(M132:P132)&lt;='07_Regras_Complexidade'!$D$6,'07_Regras_Complexidade'!$E$6,IF(SUM(M132:P132)&lt;='07_Regras_Complexidade'!$D$7,'07_Regras_Complexidade'!$E$7,IF(SUM(M132:P132)&lt;='07_Regras_Complexidade'!$D$8,'07_Regras_Complexidade'!$E$8,IF(SUM(M132:P132)&lt;='07_Regras_Complexidade'!$D$9,'07_Regras_Complexidade'!$E$9,'07_Regras_Complexidade'!$E$10)))))))</x:f>
      </x:c>
      <x:c r="R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 s="14"/>
      <x:c r="M133"/>
      <x:c r="N133"/>
      <x:c r="O133"/>
      <x:c r="P133"/>
      <x:c r="Q133" s="13" t="str">
        <x:f>IF(B133="","",IF(OR(C133="Sem movimento",C133="Inativo",C133="Encerrado"),'07_Regras_Complexidade'!$E$5,IF(COUNT(M133:P133)&lt;4,'07_Regras_Complexidade'!$E$17,IF(SUM(M133:P133)&lt;='07_Regras_Complexidade'!$D$6,'07_Regras_Complexidade'!$E$6,IF(SUM(M133:P133)&lt;='07_Regras_Complexidade'!$D$7,'07_Regras_Complexidade'!$E$7,IF(SUM(M133:P133)&lt;='07_Regras_Complexidade'!$D$8,'07_Regras_Complexidade'!$E$8,IF(SUM(M133:P133)&lt;='07_Regras_Complexidade'!$D$9,'07_Regras_Complexidade'!$E$9,'07_Regras_Complexidade'!$E$10)))))))</x:f>
      </x:c>
      <x:c r="R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 s="14"/>
      <x:c r="M134"/>
      <x:c r="N134"/>
      <x:c r="O134"/>
      <x:c r="P134"/>
      <x:c r="Q134" s="13" t="str">
        <x:f>IF(B134="","",IF(OR(C134="Sem movimento",C134="Inativo",C134="Encerrado"),'07_Regras_Complexidade'!$E$5,IF(COUNT(M134:P134)&lt;4,'07_Regras_Complexidade'!$E$17,IF(SUM(M134:P134)&lt;='07_Regras_Complexidade'!$D$6,'07_Regras_Complexidade'!$E$6,IF(SUM(M134:P134)&lt;='07_Regras_Complexidade'!$D$7,'07_Regras_Complexidade'!$E$7,IF(SUM(M134:P134)&lt;='07_Regras_Complexidade'!$D$8,'07_Regras_Complexidade'!$E$8,IF(SUM(M134:P134)&lt;='07_Regras_Complexidade'!$D$9,'07_Regras_Complexidade'!$E$9,'07_Regras_Complexidade'!$E$10)))))))</x:f>
      </x:c>
      <x:c r="R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 s="14"/>
      <x:c r="M135"/>
      <x:c r="N135"/>
      <x:c r="O135"/>
      <x:c r="P135"/>
      <x:c r="Q135" s="13" t="str">
        <x:f>IF(B135="","",IF(OR(C135="Sem movimento",C135="Inativo",C135="Encerrado"),'07_Regras_Complexidade'!$E$5,IF(COUNT(M135:P135)&lt;4,'07_Regras_Complexidade'!$E$17,IF(SUM(M135:P135)&lt;='07_Regras_Complexidade'!$D$6,'07_Regras_Complexidade'!$E$6,IF(SUM(M135:P135)&lt;='07_Regras_Complexidade'!$D$7,'07_Regras_Complexidade'!$E$7,IF(SUM(M135:P135)&lt;='07_Regras_Complexidade'!$D$8,'07_Regras_Complexidade'!$E$8,IF(SUM(M135:P135)&lt;='07_Regras_Complexidade'!$D$9,'07_Regras_Complexidade'!$E$9,'07_Regras_Complexidade'!$E$10)))))))</x:f>
      </x:c>
      <x:c r="R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 s="14"/>
      <x:c r="M136"/>
      <x:c r="N136"/>
      <x:c r="O136"/>
      <x:c r="P136"/>
      <x:c r="Q136" s="13" t="str">
        <x:f>IF(B136="","",IF(OR(C136="Sem movimento",C136="Inativo",C136="Encerrado"),'07_Regras_Complexidade'!$E$5,IF(COUNT(M136:P136)&lt;4,'07_Regras_Complexidade'!$E$17,IF(SUM(M136:P136)&lt;='07_Regras_Complexidade'!$D$6,'07_Regras_Complexidade'!$E$6,IF(SUM(M136:P136)&lt;='07_Regras_Complexidade'!$D$7,'07_Regras_Complexidade'!$E$7,IF(SUM(M136:P136)&lt;='07_Regras_Complexidade'!$D$8,'07_Regras_Complexidade'!$E$8,IF(SUM(M136:P136)&lt;='07_Regras_Complexidade'!$D$9,'07_Regras_Complexidade'!$E$9,'07_Regras_Complexidade'!$E$10)))))))</x:f>
      </x:c>
      <x:c r="R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 s="14"/>
      <x:c r="M137"/>
      <x:c r="N137"/>
      <x:c r="O137"/>
      <x:c r="P137"/>
      <x:c r="Q137" s="13" t="str">
        <x:f>IF(B137="","",IF(OR(C137="Sem movimento",C137="Inativo",C137="Encerrado"),'07_Regras_Complexidade'!$E$5,IF(COUNT(M137:P137)&lt;4,'07_Regras_Complexidade'!$E$17,IF(SUM(M137:P137)&lt;='07_Regras_Complexidade'!$D$6,'07_Regras_Complexidade'!$E$6,IF(SUM(M137:P137)&lt;='07_Regras_Complexidade'!$D$7,'07_Regras_Complexidade'!$E$7,IF(SUM(M137:P137)&lt;='07_Regras_Complexidade'!$D$8,'07_Regras_Complexidade'!$E$8,IF(SUM(M137:P137)&lt;='07_Regras_Complexidade'!$D$9,'07_Regras_Complexidade'!$E$9,'07_Regras_Complexidade'!$E$10)))))))</x:f>
      </x:c>
      <x:c r="R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 s="14"/>
      <x:c r="M138"/>
      <x:c r="N138"/>
      <x:c r="O138"/>
      <x:c r="P138"/>
      <x:c r="Q138" s="13" t="str">
        <x:f>IF(B138="","",IF(OR(C138="Sem movimento",C138="Inativo",C138="Encerrado"),'07_Regras_Complexidade'!$E$5,IF(COUNT(M138:P138)&lt;4,'07_Regras_Complexidade'!$E$17,IF(SUM(M138:P138)&lt;='07_Regras_Complexidade'!$D$6,'07_Regras_Complexidade'!$E$6,IF(SUM(M138:P138)&lt;='07_Regras_Complexidade'!$D$7,'07_Regras_Complexidade'!$E$7,IF(SUM(M138:P138)&lt;='07_Regras_Complexidade'!$D$8,'07_Regras_Complexidade'!$E$8,IF(SUM(M138:P138)&lt;='07_Regras_Complexidade'!$D$9,'07_Regras_Complexidade'!$E$9,'07_Regras_Complexidade'!$E$10)))))))</x:f>
      </x:c>
      <x:c r="R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 s="14"/>
      <x:c r="M139"/>
      <x:c r="N139"/>
      <x:c r="O139"/>
      <x:c r="P139"/>
      <x:c r="Q139" s="13" t="str">
        <x:f>IF(B139="","",IF(OR(C139="Sem movimento",C139="Inativo",C139="Encerrado"),'07_Regras_Complexidade'!$E$5,IF(COUNT(M139:P139)&lt;4,'07_Regras_Complexidade'!$E$17,IF(SUM(M139:P139)&lt;='07_Regras_Complexidade'!$D$6,'07_Regras_Complexidade'!$E$6,IF(SUM(M139:P139)&lt;='07_Regras_Complexidade'!$D$7,'07_Regras_Complexidade'!$E$7,IF(SUM(M139:P139)&lt;='07_Regras_Complexidade'!$D$8,'07_Regras_Complexidade'!$E$8,IF(SUM(M139:P139)&lt;='07_Regras_Complexidade'!$D$9,'07_Regras_Complexidade'!$E$9,'07_Regras_Complexidade'!$E$10)))))))</x:f>
      </x:c>
      <x:c r="R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 s="14"/>
      <x:c r="M140"/>
      <x:c r="N140"/>
      <x:c r="O140"/>
      <x:c r="P140"/>
      <x:c r="Q140" s="13" t="str">
        <x:f>IF(B140="","",IF(OR(C140="Sem movimento",C140="Inativo",C140="Encerrado"),'07_Regras_Complexidade'!$E$5,IF(COUNT(M140:P140)&lt;4,'07_Regras_Complexidade'!$E$17,IF(SUM(M140:P140)&lt;='07_Regras_Complexidade'!$D$6,'07_Regras_Complexidade'!$E$6,IF(SUM(M140:P140)&lt;='07_Regras_Complexidade'!$D$7,'07_Regras_Complexidade'!$E$7,IF(SUM(M140:P140)&lt;='07_Regras_Complexidade'!$D$8,'07_Regras_Complexidade'!$E$8,IF(SUM(M140:P140)&lt;='07_Regras_Complexidade'!$D$9,'07_Regras_Complexidade'!$E$9,'07_Regras_Complexidade'!$E$10)))))))</x:f>
      </x:c>
      <x:c r="R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 s="14"/>
      <x:c r="M141"/>
      <x:c r="N141"/>
      <x:c r="O141"/>
      <x:c r="P141"/>
      <x:c r="Q141" s="13" t="str">
        <x:f>IF(B141="","",IF(OR(C141="Sem movimento",C141="Inativo",C141="Encerrado"),'07_Regras_Complexidade'!$E$5,IF(COUNT(M141:P141)&lt;4,'07_Regras_Complexidade'!$E$17,IF(SUM(M141:P141)&lt;='07_Regras_Complexidade'!$D$6,'07_Regras_Complexidade'!$E$6,IF(SUM(M141:P141)&lt;='07_Regras_Complexidade'!$D$7,'07_Regras_Complexidade'!$E$7,IF(SUM(M141:P141)&lt;='07_Regras_Complexidade'!$D$8,'07_Regras_Complexidade'!$E$8,IF(SUM(M141:P141)&lt;='07_Regras_Complexidade'!$D$9,'07_Regras_Complexidade'!$E$9,'07_Regras_Complexidade'!$E$10)))))))</x:f>
      </x:c>
      <x:c r="R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 s="14"/>
      <x:c r="M142"/>
      <x:c r="N142"/>
      <x:c r="O142"/>
      <x:c r="P142"/>
      <x:c r="Q142" s="13" t="str">
        <x:f>IF(B142="","",IF(OR(C142="Sem movimento",C142="Inativo",C142="Encerrado"),'07_Regras_Complexidade'!$E$5,IF(COUNT(M142:P142)&lt;4,'07_Regras_Complexidade'!$E$17,IF(SUM(M142:P142)&lt;='07_Regras_Complexidade'!$D$6,'07_Regras_Complexidade'!$E$6,IF(SUM(M142:P142)&lt;='07_Regras_Complexidade'!$D$7,'07_Regras_Complexidade'!$E$7,IF(SUM(M142:P142)&lt;='07_Regras_Complexidade'!$D$8,'07_Regras_Complexidade'!$E$8,IF(SUM(M142:P142)&lt;='07_Regras_Complexidade'!$D$9,'07_Regras_Complexidade'!$E$9,'07_Regras_Complexidade'!$E$10)))))))</x:f>
      </x:c>
      <x:c r="R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 s="14"/>
      <x:c r="M143"/>
      <x:c r="N143"/>
      <x:c r="O143"/>
      <x:c r="P143"/>
      <x:c r="Q143" s="13" t="str">
        <x:f>IF(B143="","",IF(OR(C143="Sem movimento",C143="Inativo",C143="Encerrado"),'07_Regras_Complexidade'!$E$5,IF(COUNT(M143:P143)&lt;4,'07_Regras_Complexidade'!$E$17,IF(SUM(M143:P143)&lt;='07_Regras_Complexidade'!$D$6,'07_Regras_Complexidade'!$E$6,IF(SUM(M143:P143)&lt;='07_Regras_Complexidade'!$D$7,'07_Regras_Complexidade'!$E$7,IF(SUM(M143:P143)&lt;='07_Regras_Complexidade'!$D$8,'07_Regras_Complexidade'!$E$8,IF(SUM(M143:P143)&lt;='07_Regras_Complexidade'!$D$9,'07_Regras_Complexidade'!$E$9,'07_Regras_Complexidade'!$E$10)))))))</x:f>
      </x:c>
      <x:c r="R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 s="14"/>
      <x:c r="M144"/>
      <x:c r="N144"/>
      <x:c r="O144"/>
      <x:c r="P144"/>
      <x:c r="Q144" s="13" t="str">
        <x:f>IF(B144="","",IF(OR(C144="Sem movimento",C144="Inativo",C144="Encerrado"),'07_Regras_Complexidade'!$E$5,IF(COUNT(M144:P144)&lt;4,'07_Regras_Complexidade'!$E$17,IF(SUM(M144:P144)&lt;='07_Regras_Complexidade'!$D$6,'07_Regras_Complexidade'!$E$6,IF(SUM(M144:P144)&lt;='07_Regras_Complexidade'!$D$7,'07_Regras_Complexidade'!$E$7,IF(SUM(M144:P144)&lt;='07_Regras_Complexidade'!$D$8,'07_Regras_Complexidade'!$E$8,IF(SUM(M144:P144)&lt;='07_Regras_Complexidade'!$D$9,'07_Regras_Complexidade'!$E$9,'07_Regras_Complexidade'!$E$10)))))))</x:f>
      </x:c>
      <x:c r="R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 s="14"/>
      <x:c r="M145"/>
      <x:c r="N145"/>
      <x:c r="O145"/>
      <x:c r="P145"/>
      <x:c r="Q145" s="13" t="str">
        <x:f>IF(B145="","",IF(OR(C145="Sem movimento",C145="Inativo",C145="Encerrado"),'07_Regras_Complexidade'!$E$5,IF(COUNT(M145:P145)&lt;4,'07_Regras_Complexidade'!$E$17,IF(SUM(M145:P145)&lt;='07_Regras_Complexidade'!$D$6,'07_Regras_Complexidade'!$E$6,IF(SUM(M145:P145)&lt;='07_Regras_Complexidade'!$D$7,'07_Regras_Complexidade'!$E$7,IF(SUM(M145:P145)&lt;='07_Regras_Complexidade'!$D$8,'07_Regras_Complexidade'!$E$8,IF(SUM(M145:P145)&lt;='07_Regras_Complexidade'!$D$9,'07_Regras_Complexidade'!$E$9,'07_Regras_Complexidade'!$E$10)))))))</x:f>
      </x:c>
      <x:c r="R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 s="14"/>
      <x:c r="M146"/>
      <x:c r="N146"/>
      <x:c r="O146"/>
      <x:c r="P146"/>
      <x:c r="Q146" s="13" t="str">
        <x:f>IF(B146="","",IF(OR(C146="Sem movimento",C146="Inativo",C146="Encerrado"),'07_Regras_Complexidade'!$E$5,IF(COUNT(M146:P146)&lt;4,'07_Regras_Complexidade'!$E$17,IF(SUM(M146:P146)&lt;='07_Regras_Complexidade'!$D$6,'07_Regras_Complexidade'!$E$6,IF(SUM(M146:P146)&lt;='07_Regras_Complexidade'!$D$7,'07_Regras_Complexidade'!$E$7,IF(SUM(M146:P146)&lt;='07_Regras_Complexidade'!$D$8,'07_Regras_Complexidade'!$E$8,IF(SUM(M146:P146)&lt;='07_Regras_Complexidade'!$D$9,'07_Regras_Complexidade'!$E$9,'07_Regras_Complexidade'!$E$10)))))))</x:f>
      </x:c>
      <x:c r="R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 s="14"/>
      <x:c r="M147"/>
      <x:c r="N147"/>
      <x:c r="O147"/>
      <x:c r="P147"/>
      <x:c r="Q147" s="13" t="str">
        <x:f>IF(B147="","",IF(OR(C147="Sem movimento",C147="Inativo",C147="Encerrado"),'07_Regras_Complexidade'!$E$5,IF(COUNT(M147:P147)&lt;4,'07_Regras_Complexidade'!$E$17,IF(SUM(M147:P147)&lt;='07_Regras_Complexidade'!$D$6,'07_Regras_Complexidade'!$E$6,IF(SUM(M147:P147)&lt;='07_Regras_Complexidade'!$D$7,'07_Regras_Complexidade'!$E$7,IF(SUM(M147:P147)&lt;='07_Regras_Complexidade'!$D$8,'07_Regras_Complexidade'!$E$8,IF(SUM(M147:P147)&lt;='07_Regras_Complexidade'!$D$9,'07_Regras_Complexidade'!$E$9,'07_Regras_Complexidade'!$E$10)))))))</x:f>
      </x:c>
      <x:c r="R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 s="14"/>
      <x:c r="M148"/>
      <x:c r="N148"/>
      <x:c r="O148"/>
      <x:c r="P148"/>
      <x:c r="Q148" s="13" t="str">
        <x:f>IF(B148="","",IF(OR(C148="Sem movimento",C148="Inativo",C148="Encerrado"),'07_Regras_Complexidade'!$E$5,IF(COUNT(M148:P148)&lt;4,'07_Regras_Complexidade'!$E$17,IF(SUM(M148:P148)&lt;='07_Regras_Complexidade'!$D$6,'07_Regras_Complexidade'!$E$6,IF(SUM(M148:P148)&lt;='07_Regras_Complexidade'!$D$7,'07_Regras_Complexidade'!$E$7,IF(SUM(M148:P148)&lt;='07_Regras_Complexidade'!$D$8,'07_Regras_Complexidade'!$E$8,IF(SUM(M148:P148)&lt;='07_Regras_Complexidade'!$D$9,'07_Regras_Complexidade'!$E$9,'07_Regras_Complexidade'!$E$10)))))))</x:f>
      </x:c>
      <x:c r="R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 s="14"/>
      <x:c r="M149"/>
      <x:c r="N149"/>
      <x:c r="O149"/>
      <x:c r="P149"/>
      <x:c r="Q149" s="13" t="str">
        <x:f>IF(B149="","",IF(OR(C149="Sem movimento",C149="Inativo",C149="Encerrado"),'07_Regras_Complexidade'!$E$5,IF(COUNT(M149:P149)&lt;4,'07_Regras_Complexidade'!$E$17,IF(SUM(M149:P149)&lt;='07_Regras_Complexidade'!$D$6,'07_Regras_Complexidade'!$E$6,IF(SUM(M149:P149)&lt;='07_Regras_Complexidade'!$D$7,'07_Regras_Complexidade'!$E$7,IF(SUM(M149:P149)&lt;='07_Regras_Complexidade'!$D$8,'07_Regras_Complexidade'!$E$8,IF(SUM(M149:P149)&lt;='07_Regras_Complexidade'!$D$9,'07_Regras_Complexidade'!$E$9,'07_Regras_Complexidade'!$E$10)))))))</x:f>
      </x:c>
      <x:c r="R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 s="14"/>
      <x:c r="M150"/>
      <x:c r="N150"/>
      <x:c r="O150"/>
      <x:c r="P150"/>
      <x:c r="Q150" s="13" t="str">
        <x:f>IF(B150="","",IF(OR(C150="Sem movimento",C150="Inativo",C150="Encerrado"),'07_Regras_Complexidade'!$E$5,IF(COUNT(M150:P150)&lt;4,'07_Regras_Complexidade'!$E$17,IF(SUM(M150:P150)&lt;='07_Regras_Complexidade'!$D$6,'07_Regras_Complexidade'!$E$6,IF(SUM(M150:P150)&lt;='07_Regras_Complexidade'!$D$7,'07_Regras_Complexidade'!$E$7,IF(SUM(M150:P150)&lt;='07_Regras_Complexidade'!$D$8,'07_Regras_Complexidade'!$E$8,IF(SUM(M150:P150)&lt;='07_Regras_Complexidade'!$D$9,'07_Regras_Complexidade'!$E$9,'07_Regras_Complexidade'!$E$10)))))))</x:f>
      </x:c>
      <x:c r="R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 s="14"/>
      <x:c r="M151"/>
      <x:c r="N151"/>
      <x:c r="O151"/>
      <x:c r="P151"/>
      <x:c r="Q151" s="13" t="str">
        <x:f>IF(B151="","",IF(OR(C151="Sem movimento",C151="Inativo",C151="Encerrado"),'07_Regras_Complexidade'!$E$5,IF(COUNT(M151:P151)&lt;4,'07_Regras_Complexidade'!$E$17,IF(SUM(M151:P151)&lt;='07_Regras_Complexidade'!$D$6,'07_Regras_Complexidade'!$E$6,IF(SUM(M151:P151)&lt;='07_Regras_Complexidade'!$D$7,'07_Regras_Complexidade'!$E$7,IF(SUM(M151:P151)&lt;='07_Regras_Complexidade'!$D$8,'07_Regras_Complexidade'!$E$8,IF(SUM(M151:P151)&lt;='07_Regras_Complexidade'!$D$9,'07_Regras_Complexidade'!$E$9,'07_Regras_Complexidade'!$E$10)))))))</x:f>
      </x:c>
      <x:c r="R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 s="14"/>
      <x:c r="M152"/>
      <x:c r="N152"/>
      <x:c r="O152"/>
      <x:c r="P152"/>
      <x:c r="Q152" s="13" t="str">
        <x:f>IF(B152="","",IF(OR(C152="Sem movimento",C152="Inativo",C152="Encerrado"),'07_Regras_Complexidade'!$E$5,IF(COUNT(M152:P152)&lt;4,'07_Regras_Complexidade'!$E$17,IF(SUM(M152:P152)&lt;='07_Regras_Complexidade'!$D$6,'07_Regras_Complexidade'!$E$6,IF(SUM(M152:P152)&lt;='07_Regras_Complexidade'!$D$7,'07_Regras_Complexidade'!$E$7,IF(SUM(M152:P152)&lt;='07_Regras_Complexidade'!$D$8,'07_Regras_Complexidade'!$E$8,IF(SUM(M152:P152)&lt;='07_Regras_Complexidade'!$D$9,'07_Regras_Complexidade'!$E$9,'07_Regras_Complexidade'!$E$10)))))))</x:f>
      </x:c>
      <x:c r="R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 s="14"/>
      <x:c r="M153"/>
      <x:c r="N153"/>
      <x:c r="O153"/>
      <x:c r="P153"/>
      <x:c r="Q153" s="13" t="str">
        <x:f>IF(B153="","",IF(OR(C153="Sem movimento",C153="Inativo",C153="Encerrado"),'07_Regras_Complexidade'!$E$5,IF(COUNT(M153:P153)&lt;4,'07_Regras_Complexidade'!$E$17,IF(SUM(M153:P153)&lt;='07_Regras_Complexidade'!$D$6,'07_Regras_Complexidade'!$E$6,IF(SUM(M153:P153)&lt;='07_Regras_Complexidade'!$D$7,'07_Regras_Complexidade'!$E$7,IF(SUM(M153:P153)&lt;='07_Regras_Complexidade'!$D$8,'07_Regras_Complexidade'!$E$8,IF(SUM(M153:P153)&lt;='07_Regras_Complexidade'!$D$9,'07_Regras_Complexidade'!$E$9,'07_Regras_Complexidade'!$E$10)))))))</x:f>
      </x:c>
      <x:c r="R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 s="14"/>
      <x:c r="M154"/>
      <x:c r="N154"/>
      <x:c r="O154"/>
      <x:c r="P154"/>
      <x:c r="Q154" s="13" t="str">
        <x:f>IF(B154="","",IF(OR(C154="Sem movimento",C154="Inativo",C154="Encerrado"),'07_Regras_Complexidade'!$E$5,IF(COUNT(M154:P154)&lt;4,'07_Regras_Complexidade'!$E$17,IF(SUM(M154:P154)&lt;='07_Regras_Complexidade'!$D$6,'07_Regras_Complexidade'!$E$6,IF(SUM(M154:P154)&lt;='07_Regras_Complexidade'!$D$7,'07_Regras_Complexidade'!$E$7,IF(SUM(M154:P154)&lt;='07_Regras_Complexidade'!$D$8,'07_Regras_Complexidade'!$E$8,IF(SUM(M154:P154)&lt;='07_Regras_Complexidade'!$D$9,'07_Regras_Complexidade'!$E$9,'07_Regras_Complexidade'!$E$10)))))))</x:f>
      </x:c>
      <x:c r="R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 s="14"/>
      <x:c r="M155"/>
      <x:c r="N155"/>
      <x:c r="O155"/>
      <x:c r="P155"/>
      <x:c r="Q155" s="13" t="str">
        <x:f>IF(B155="","",IF(OR(C155="Sem movimento",C155="Inativo",C155="Encerrado"),'07_Regras_Complexidade'!$E$5,IF(COUNT(M155:P155)&lt;4,'07_Regras_Complexidade'!$E$17,IF(SUM(M155:P155)&lt;='07_Regras_Complexidade'!$D$6,'07_Regras_Complexidade'!$E$6,IF(SUM(M155:P155)&lt;='07_Regras_Complexidade'!$D$7,'07_Regras_Complexidade'!$E$7,IF(SUM(M155:P155)&lt;='07_Regras_Complexidade'!$D$8,'07_Regras_Complexidade'!$E$8,IF(SUM(M155:P155)&lt;='07_Regras_Complexidade'!$D$9,'07_Regras_Complexidade'!$E$9,'07_Regras_Complexidade'!$E$10)))))))</x:f>
      </x:c>
      <x:c r="R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 s="14"/>
      <x:c r="M156"/>
      <x:c r="N156"/>
      <x:c r="O156"/>
      <x:c r="P156"/>
      <x:c r="Q156" s="13" t="str">
        <x:f>IF(B156="","",IF(OR(C156="Sem movimento",C156="Inativo",C156="Encerrado"),'07_Regras_Complexidade'!$E$5,IF(COUNT(M156:P156)&lt;4,'07_Regras_Complexidade'!$E$17,IF(SUM(M156:P156)&lt;='07_Regras_Complexidade'!$D$6,'07_Regras_Complexidade'!$E$6,IF(SUM(M156:P156)&lt;='07_Regras_Complexidade'!$D$7,'07_Regras_Complexidade'!$E$7,IF(SUM(M156:P156)&lt;='07_Regras_Complexidade'!$D$8,'07_Regras_Complexidade'!$E$8,IF(SUM(M156:P156)&lt;='07_Regras_Complexidade'!$D$9,'07_Regras_Complexidade'!$E$9,'07_Regras_Complexidade'!$E$10)))))))</x:f>
      </x:c>
      <x:c r="R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 s="14"/>
      <x:c r="M157"/>
      <x:c r="N157"/>
      <x:c r="O157"/>
      <x:c r="P157"/>
      <x:c r="Q157" s="13" t="str">
        <x:f>IF(B157="","",IF(OR(C157="Sem movimento",C157="Inativo",C157="Encerrado"),'07_Regras_Complexidade'!$E$5,IF(COUNT(M157:P157)&lt;4,'07_Regras_Complexidade'!$E$17,IF(SUM(M157:P157)&lt;='07_Regras_Complexidade'!$D$6,'07_Regras_Complexidade'!$E$6,IF(SUM(M157:P157)&lt;='07_Regras_Complexidade'!$D$7,'07_Regras_Complexidade'!$E$7,IF(SUM(M157:P157)&lt;='07_Regras_Complexidade'!$D$8,'07_Regras_Complexidade'!$E$8,IF(SUM(M157:P157)&lt;='07_Regras_Complexidade'!$D$9,'07_Regras_Complexidade'!$E$9,'07_Regras_Complexidade'!$E$10)))))))</x:f>
      </x:c>
      <x:c r="R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 s="14"/>
      <x:c r="M158"/>
      <x:c r="N158"/>
      <x:c r="O158"/>
      <x:c r="P158"/>
      <x:c r="Q158" s="13" t="str">
        <x:f>IF(B158="","",IF(OR(C158="Sem movimento",C158="Inativo",C158="Encerrado"),'07_Regras_Complexidade'!$E$5,IF(COUNT(M158:P158)&lt;4,'07_Regras_Complexidade'!$E$17,IF(SUM(M158:P158)&lt;='07_Regras_Complexidade'!$D$6,'07_Regras_Complexidade'!$E$6,IF(SUM(M158:P158)&lt;='07_Regras_Complexidade'!$D$7,'07_Regras_Complexidade'!$E$7,IF(SUM(M158:P158)&lt;='07_Regras_Complexidade'!$D$8,'07_Regras_Complexidade'!$E$8,IF(SUM(M158:P158)&lt;='07_Regras_Complexidade'!$D$9,'07_Regras_Complexidade'!$E$9,'07_Regras_Complexidade'!$E$10)))))))</x:f>
      </x:c>
      <x:c r="R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 s="14"/>
      <x:c r="M159"/>
      <x:c r="N159"/>
      <x:c r="O159"/>
      <x:c r="P159"/>
      <x:c r="Q159" s="13" t="str">
        <x:f>IF(B159="","",IF(OR(C159="Sem movimento",C159="Inativo",C159="Encerrado"),'07_Regras_Complexidade'!$E$5,IF(COUNT(M159:P159)&lt;4,'07_Regras_Complexidade'!$E$17,IF(SUM(M159:P159)&lt;='07_Regras_Complexidade'!$D$6,'07_Regras_Complexidade'!$E$6,IF(SUM(M159:P159)&lt;='07_Regras_Complexidade'!$D$7,'07_Regras_Complexidade'!$E$7,IF(SUM(M159:P159)&lt;='07_Regras_Complexidade'!$D$8,'07_Regras_Complexidade'!$E$8,IF(SUM(M159:P159)&lt;='07_Regras_Complexidade'!$D$9,'07_Regras_Complexidade'!$E$9,'07_Regras_Complexidade'!$E$10)))))))</x:f>
      </x:c>
      <x:c r="R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 s="14"/>
      <x:c r="M160"/>
      <x:c r="N160"/>
      <x:c r="O160"/>
      <x:c r="P160"/>
      <x:c r="Q160" s="13" t="str">
        <x:f>IF(B160="","",IF(OR(C160="Sem movimento",C160="Inativo",C160="Encerrado"),'07_Regras_Complexidade'!$E$5,IF(COUNT(M160:P160)&lt;4,'07_Regras_Complexidade'!$E$17,IF(SUM(M160:P160)&lt;='07_Regras_Complexidade'!$D$6,'07_Regras_Complexidade'!$E$6,IF(SUM(M160:P160)&lt;='07_Regras_Complexidade'!$D$7,'07_Regras_Complexidade'!$E$7,IF(SUM(M160:P160)&lt;='07_Regras_Complexidade'!$D$8,'07_Regras_Complexidade'!$E$8,IF(SUM(M160:P160)&lt;='07_Regras_Complexidade'!$D$9,'07_Regras_Complexidade'!$E$9,'07_Regras_Complexidade'!$E$10)))))))</x:f>
      </x:c>
      <x:c r="R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 s="14"/>
      <x:c r="M161"/>
      <x:c r="N161"/>
      <x:c r="O161"/>
      <x:c r="P161"/>
      <x:c r="Q161" s="13" t="str">
        <x:f>IF(B161="","",IF(OR(C161="Sem movimento",C161="Inativo",C161="Encerrado"),'07_Regras_Complexidade'!$E$5,IF(COUNT(M161:P161)&lt;4,'07_Regras_Complexidade'!$E$17,IF(SUM(M161:P161)&lt;='07_Regras_Complexidade'!$D$6,'07_Regras_Complexidade'!$E$6,IF(SUM(M161:P161)&lt;='07_Regras_Complexidade'!$D$7,'07_Regras_Complexidade'!$E$7,IF(SUM(M161:P161)&lt;='07_Regras_Complexidade'!$D$8,'07_Regras_Complexidade'!$E$8,IF(SUM(M161:P161)&lt;='07_Regras_Complexidade'!$D$9,'07_Regras_Complexidade'!$E$9,'07_Regras_Complexidade'!$E$10)))))))</x:f>
      </x:c>
      <x:c r="R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 s="14"/>
      <x:c r="M162"/>
      <x:c r="N162"/>
      <x:c r="O162"/>
      <x:c r="P162"/>
      <x:c r="Q162" s="13" t="str">
        <x:f>IF(B162="","",IF(OR(C162="Sem movimento",C162="Inativo",C162="Encerrado"),'07_Regras_Complexidade'!$E$5,IF(COUNT(M162:P162)&lt;4,'07_Regras_Complexidade'!$E$17,IF(SUM(M162:P162)&lt;='07_Regras_Complexidade'!$D$6,'07_Regras_Complexidade'!$E$6,IF(SUM(M162:P162)&lt;='07_Regras_Complexidade'!$D$7,'07_Regras_Complexidade'!$E$7,IF(SUM(M162:P162)&lt;='07_Regras_Complexidade'!$D$8,'07_Regras_Complexidade'!$E$8,IF(SUM(M162:P162)&lt;='07_Regras_Complexidade'!$D$9,'07_Regras_Complexidade'!$E$9,'07_Regras_Complexidade'!$E$10)))))))</x:f>
      </x:c>
      <x:c r="R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 s="14"/>
      <x:c r="M163"/>
      <x:c r="N163"/>
      <x:c r="O163"/>
      <x:c r="P163"/>
      <x:c r="Q163" s="13" t="str">
        <x:f>IF(B163="","",IF(OR(C163="Sem movimento",C163="Inativo",C163="Encerrado"),'07_Regras_Complexidade'!$E$5,IF(COUNT(M163:P163)&lt;4,'07_Regras_Complexidade'!$E$17,IF(SUM(M163:P163)&lt;='07_Regras_Complexidade'!$D$6,'07_Regras_Complexidade'!$E$6,IF(SUM(M163:P163)&lt;='07_Regras_Complexidade'!$D$7,'07_Regras_Complexidade'!$E$7,IF(SUM(M163:P163)&lt;='07_Regras_Complexidade'!$D$8,'07_Regras_Complexidade'!$E$8,IF(SUM(M163:P163)&lt;='07_Regras_Complexidade'!$D$9,'07_Regras_Complexidade'!$E$9,'07_Regras_Complexidade'!$E$10)))))))</x:f>
      </x:c>
      <x:c r="R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 s="14"/>
      <x:c r="M164"/>
      <x:c r="N164"/>
      <x:c r="O164"/>
      <x:c r="P164"/>
      <x:c r="Q164" s="13" t="str">
        <x:f>IF(B164="","",IF(OR(C164="Sem movimento",C164="Inativo",C164="Encerrado"),'07_Regras_Complexidade'!$E$5,IF(COUNT(M164:P164)&lt;4,'07_Regras_Complexidade'!$E$17,IF(SUM(M164:P164)&lt;='07_Regras_Complexidade'!$D$6,'07_Regras_Complexidade'!$E$6,IF(SUM(M164:P164)&lt;='07_Regras_Complexidade'!$D$7,'07_Regras_Complexidade'!$E$7,IF(SUM(M164:P164)&lt;='07_Regras_Complexidade'!$D$8,'07_Regras_Complexidade'!$E$8,IF(SUM(M164:P164)&lt;='07_Regras_Complexidade'!$D$9,'07_Regras_Complexidade'!$E$9,'07_Regras_Complexidade'!$E$10)))))))</x:f>
      </x:c>
      <x:c r="R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 s="14"/>
      <x:c r="M165"/>
      <x:c r="N165"/>
      <x:c r="O165"/>
      <x:c r="P165"/>
      <x:c r="Q165" s="13" t="str">
        <x:f>IF(B165="","",IF(OR(C165="Sem movimento",C165="Inativo",C165="Encerrado"),'07_Regras_Complexidade'!$E$5,IF(COUNT(M165:P165)&lt;4,'07_Regras_Complexidade'!$E$17,IF(SUM(M165:P165)&lt;='07_Regras_Complexidade'!$D$6,'07_Regras_Complexidade'!$E$6,IF(SUM(M165:P165)&lt;='07_Regras_Complexidade'!$D$7,'07_Regras_Complexidade'!$E$7,IF(SUM(M165:P165)&lt;='07_Regras_Complexidade'!$D$8,'07_Regras_Complexidade'!$E$8,IF(SUM(M165:P165)&lt;='07_Regras_Complexidade'!$D$9,'07_Regras_Complexidade'!$E$9,'07_Regras_Complexidade'!$E$10)))))))</x:f>
      </x:c>
      <x:c r="R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 s="14"/>
      <x:c r="M166"/>
      <x:c r="N166"/>
      <x:c r="O166"/>
      <x:c r="P166"/>
      <x:c r="Q166" s="13" t="str">
        <x:f>IF(B166="","",IF(OR(C166="Sem movimento",C166="Inativo",C166="Encerrado"),'07_Regras_Complexidade'!$E$5,IF(COUNT(M166:P166)&lt;4,'07_Regras_Complexidade'!$E$17,IF(SUM(M166:P166)&lt;='07_Regras_Complexidade'!$D$6,'07_Regras_Complexidade'!$E$6,IF(SUM(M166:P166)&lt;='07_Regras_Complexidade'!$D$7,'07_Regras_Complexidade'!$E$7,IF(SUM(M166:P166)&lt;='07_Regras_Complexidade'!$D$8,'07_Regras_Complexidade'!$E$8,IF(SUM(M166:P166)&lt;='07_Regras_Complexidade'!$D$9,'07_Regras_Complexidade'!$E$9,'07_Regras_Complexidade'!$E$10)))))))</x:f>
      </x:c>
      <x:c r="R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 s="14"/>
      <x:c r="M167"/>
      <x:c r="N167"/>
      <x:c r="O167"/>
      <x:c r="P167"/>
      <x:c r="Q167" s="13" t="str">
        <x:f>IF(B167="","",IF(OR(C167="Sem movimento",C167="Inativo",C167="Encerrado"),'07_Regras_Complexidade'!$E$5,IF(COUNT(M167:P167)&lt;4,'07_Regras_Complexidade'!$E$17,IF(SUM(M167:P167)&lt;='07_Regras_Complexidade'!$D$6,'07_Regras_Complexidade'!$E$6,IF(SUM(M167:P167)&lt;='07_Regras_Complexidade'!$D$7,'07_Regras_Complexidade'!$E$7,IF(SUM(M167:P167)&lt;='07_Regras_Complexidade'!$D$8,'07_Regras_Complexidade'!$E$8,IF(SUM(M167:P167)&lt;='07_Regras_Complexidade'!$D$9,'07_Regras_Complexidade'!$E$9,'07_Regras_Complexidade'!$E$10)))))))</x:f>
      </x:c>
      <x:c r="R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 s="14"/>
      <x:c r="M168"/>
      <x:c r="N168"/>
      <x:c r="O168"/>
      <x:c r="P168"/>
      <x:c r="Q168" s="13" t="str">
        <x:f>IF(B168="","",IF(OR(C168="Sem movimento",C168="Inativo",C168="Encerrado"),'07_Regras_Complexidade'!$E$5,IF(COUNT(M168:P168)&lt;4,'07_Regras_Complexidade'!$E$17,IF(SUM(M168:P168)&lt;='07_Regras_Complexidade'!$D$6,'07_Regras_Complexidade'!$E$6,IF(SUM(M168:P168)&lt;='07_Regras_Complexidade'!$D$7,'07_Regras_Complexidade'!$E$7,IF(SUM(M168:P168)&lt;='07_Regras_Complexidade'!$D$8,'07_Regras_Complexidade'!$E$8,IF(SUM(M168:P168)&lt;='07_Regras_Complexidade'!$D$9,'07_Regras_Complexidade'!$E$9,'07_Regras_Complexidade'!$E$10)))))))</x:f>
      </x:c>
      <x:c r="R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 s="14"/>
      <x:c r="M169"/>
      <x:c r="N169"/>
      <x:c r="O169"/>
      <x:c r="P169"/>
      <x:c r="Q169" s="13" t="str">
        <x:f>IF(B169="","",IF(OR(C169="Sem movimento",C169="Inativo",C169="Encerrado"),'07_Regras_Complexidade'!$E$5,IF(COUNT(M169:P169)&lt;4,'07_Regras_Complexidade'!$E$17,IF(SUM(M169:P169)&lt;='07_Regras_Complexidade'!$D$6,'07_Regras_Complexidade'!$E$6,IF(SUM(M169:P169)&lt;='07_Regras_Complexidade'!$D$7,'07_Regras_Complexidade'!$E$7,IF(SUM(M169:P169)&lt;='07_Regras_Complexidade'!$D$8,'07_Regras_Complexidade'!$E$8,IF(SUM(M169:P169)&lt;='07_Regras_Complexidade'!$D$9,'07_Regras_Complexidade'!$E$9,'07_Regras_Complexidade'!$E$10)))))))</x:f>
      </x:c>
      <x:c r="R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 s="14"/>
      <x:c r="M170"/>
      <x:c r="N170"/>
      <x:c r="O170"/>
      <x:c r="P170"/>
      <x:c r="Q170" s="13" t="str">
        <x:f>IF(B170="","",IF(OR(C170="Sem movimento",C170="Inativo",C170="Encerrado"),'07_Regras_Complexidade'!$E$5,IF(COUNT(M170:P170)&lt;4,'07_Regras_Complexidade'!$E$17,IF(SUM(M170:P170)&lt;='07_Regras_Complexidade'!$D$6,'07_Regras_Complexidade'!$E$6,IF(SUM(M170:P170)&lt;='07_Regras_Complexidade'!$D$7,'07_Regras_Complexidade'!$E$7,IF(SUM(M170:P170)&lt;='07_Regras_Complexidade'!$D$8,'07_Regras_Complexidade'!$E$8,IF(SUM(M170:P170)&lt;='07_Regras_Complexidade'!$D$9,'07_Regras_Complexidade'!$E$9,'07_Regras_Complexidade'!$E$10)))))))</x:f>
      </x:c>
      <x:c r="R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 s="14"/>
      <x:c r="M171"/>
      <x:c r="N171"/>
      <x:c r="O171"/>
      <x:c r="P171"/>
      <x:c r="Q171" s="13" t="str">
        <x:f>IF(B171="","",IF(OR(C171="Sem movimento",C171="Inativo",C171="Encerrado"),'07_Regras_Complexidade'!$E$5,IF(COUNT(M171:P171)&lt;4,'07_Regras_Complexidade'!$E$17,IF(SUM(M171:P171)&lt;='07_Regras_Complexidade'!$D$6,'07_Regras_Complexidade'!$E$6,IF(SUM(M171:P171)&lt;='07_Regras_Complexidade'!$D$7,'07_Regras_Complexidade'!$E$7,IF(SUM(M171:P171)&lt;='07_Regras_Complexidade'!$D$8,'07_Regras_Complexidade'!$E$8,IF(SUM(M171:P171)&lt;='07_Regras_Complexidade'!$D$9,'07_Regras_Complexidade'!$E$9,'07_Regras_Complexidade'!$E$10)))))))</x:f>
      </x:c>
      <x:c r="R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 s="14"/>
      <x:c r="M172"/>
      <x:c r="N172"/>
      <x:c r="O172"/>
      <x:c r="P172"/>
      <x:c r="Q172" s="13" t="str">
        <x:f>IF(B172="","",IF(OR(C172="Sem movimento",C172="Inativo",C172="Encerrado"),'07_Regras_Complexidade'!$E$5,IF(COUNT(M172:P172)&lt;4,'07_Regras_Complexidade'!$E$17,IF(SUM(M172:P172)&lt;='07_Regras_Complexidade'!$D$6,'07_Regras_Complexidade'!$E$6,IF(SUM(M172:P172)&lt;='07_Regras_Complexidade'!$D$7,'07_Regras_Complexidade'!$E$7,IF(SUM(M172:P172)&lt;='07_Regras_Complexidade'!$D$8,'07_Regras_Complexidade'!$E$8,IF(SUM(M172:P172)&lt;='07_Regras_Complexidade'!$D$9,'07_Regras_Complexidade'!$E$9,'07_Regras_Complexidade'!$E$10)))))))</x:f>
      </x:c>
      <x:c r="R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 s="14"/>
      <x:c r="M173"/>
      <x:c r="N173"/>
      <x:c r="O173"/>
      <x:c r="P173"/>
      <x:c r="Q173" s="13" t="str">
        <x:f>IF(B173="","",IF(OR(C173="Sem movimento",C173="Inativo",C173="Encerrado"),'07_Regras_Complexidade'!$E$5,IF(COUNT(M173:P173)&lt;4,'07_Regras_Complexidade'!$E$17,IF(SUM(M173:P173)&lt;='07_Regras_Complexidade'!$D$6,'07_Regras_Complexidade'!$E$6,IF(SUM(M173:P173)&lt;='07_Regras_Complexidade'!$D$7,'07_Regras_Complexidade'!$E$7,IF(SUM(M173:P173)&lt;='07_Regras_Complexidade'!$D$8,'07_Regras_Complexidade'!$E$8,IF(SUM(M173:P173)&lt;='07_Regras_Complexidade'!$D$9,'07_Regras_Complexidade'!$E$9,'07_Regras_Complexidade'!$E$10)))))))</x:f>
      </x:c>
      <x:c r="R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 s="14"/>
      <x:c r="M174"/>
      <x:c r="N174"/>
      <x:c r="O174"/>
      <x:c r="P174"/>
      <x:c r="Q174" s="13" t="str">
        <x:f>IF(B174="","",IF(OR(C174="Sem movimento",C174="Inativo",C174="Encerrado"),'07_Regras_Complexidade'!$E$5,IF(COUNT(M174:P174)&lt;4,'07_Regras_Complexidade'!$E$17,IF(SUM(M174:P174)&lt;='07_Regras_Complexidade'!$D$6,'07_Regras_Complexidade'!$E$6,IF(SUM(M174:P174)&lt;='07_Regras_Complexidade'!$D$7,'07_Regras_Complexidade'!$E$7,IF(SUM(M174:P174)&lt;='07_Regras_Complexidade'!$D$8,'07_Regras_Complexidade'!$E$8,IF(SUM(M174:P174)&lt;='07_Regras_Complexidade'!$D$9,'07_Regras_Complexidade'!$E$9,'07_Regras_Complexidade'!$E$10)))))))</x:f>
      </x:c>
      <x:c r="R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 s="14"/>
      <x:c r="M175"/>
      <x:c r="N175"/>
      <x:c r="O175"/>
      <x:c r="P175"/>
      <x:c r="Q175" s="13" t="str">
        <x:f>IF(B175="","",IF(OR(C175="Sem movimento",C175="Inativo",C175="Encerrado"),'07_Regras_Complexidade'!$E$5,IF(COUNT(M175:P175)&lt;4,'07_Regras_Complexidade'!$E$17,IF(SUM(M175:P175)&lt;='07_Regras_Complexidade'!$D$6,'07_Regras_Complexidade'!$E$6,IF(SUM(M175:P175)&lt;='07_Regras_Complexidade'!$D$7,'07_Regras_Complexidade'!$E$7,IF(SUM(M175:P175)&lt;='07_Regras_Complexidade'!$D$8,'07_Regras_Complexidade'!$E$8,IF(SUM(M175:P175)&lt;='07_Regras_Complexidade'!$D$9,'07_Regras_Complexidade'!$E$9,'07_Regras_Complexidade'!$E$10)))))))</x:f>
      </x:c>
      <x:c r="R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 s="14"/>
      <x:c r="M176"/>
      <x:c r="N176"/>
      <x:c r="O176"/>
      <x:c r="P176"/>
      <x:c r="Q176" s="13" t="str">
        <x:f>IF(B176="","",IF(OR(C176="Sem movimento",C176="Inativo",C176="Encerrado"),'07_Regras_Complexidade'!$E$5,IF(COUNT(M176:P176)&lt;4,'07_Regras_Complexidade'!$E$17,IF(SUM(M176:P176)&lt;='07_Regras_Complexidade'!$D$6,'07_Regras_Complexidade'!$E$6,IF(SUM(M176:P176)&lt;='07_Regras_Complexidade'!$D$7,'07_Regras_Complexidade'!$E$7,IF(SUM(M176:P176)&lt;='07_Regras_Complexidade'!$D$8,'07_Regras_Complexidade'!$E$8,IF(SUM(M176:P176)&lt;='07_Regras_Complexidade'!$D$9,'07_Regras_Complexidade'!$E$9,'07_Regras_Complexidade'!$E$10)))))))</x:f>
      </x:c>
      <x:c r="R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 s="14"/>
      <x:c r="M177"/>
      <x:c r="N177"/>
      <x:c r="O177"/>
      <x:c r="P177"/>
      <x:c r="Q177" s="13" t="str">
        <x:f>IF(B177="","",IF(OR(C177="Sem movimento",C177="Inativo",C177="Encerrado"),'07_Regras_Complexidade'!$E$5,IF(COUNT(M177:P177)&lt;4,'07_Regras_Complexidade'!$E$17,IF(SUM(M177:P177)&lt;='07_Regras_Complexidade'!$D$6,'07_Regras_Complexidade'!$E$6,IF(SUM(M177:P177)&lt;='07_Regras_Complexidade'!$D$7,'07_Regras_Complexidade'!$E$7,IF(SUM(M177:P177)&lt;='07_Regras_Complexidade'!$D$8,'07_Regras_Complexidade'!$E$8,IF(SUM(M177:P177)&lt;='07_Regras_Complexidade'!$D$9,'07_Regras_Complexidade'!$E$9,'07_Regras_Complexidade'!$E$10)))))))</x:f>
      </x:c>
      <x:c r="R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 s="14"/>
      <x:c r="M178"/>
      <x:c r="N178"/>
      <x:c r="O178"/>
      <x:c r="P178"/>
      <x:c r="Q178" s="13" t="str">
        <x:f>IF(B178="","",IF(OR(C178="Sem movimento",C178="Inativo",C178="Encerrado"),'07_Regras_Complexidade'!$E$5,IF(COUNT(M178:P178)&lt;4,'07_Regras_Complexidade'!$E$17,IF(SUM(M178:P178)&lt;='07_Regras_Complexidade'!$D$6,'07_Regras_Complexidade'!$E$6,IF(SUM(M178:P178)&lt;='07_Regras_Complexidade'!$D$7,'07_Regras_Complexidade'!$E$7,IF(SUM(M178:P178)&lt;='07_Regras_Complexidade'!$D$8,'07_Regras_Complexidade'!$E$8,IF(SUM(M178:P178)&lt;='07_Regras_Complexidade'!$D$9,'07_Regras_Complexidade'!$E$9,'07_Regras_Complexidade'!$E$10)))))))</x:f>
      </x:c>
      <x:c r="R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 s="14"/>
      <x:c r="M179"/>
      <x:c r="N179"/>
      <x:c r="O179"/>
      <x:c r="P179"/>
      <x:c r="Q179" s="13" t="str">
        <x:f>IF(B179="","",IF(OR(C179="Sem movimento",C179="Inativo",C179="Encerrado"),'07_Regras_Complexidade'!$E$5,IF(COUNT(M179:P179)&lt;4,'07_Regras_Complexidade'!$E$17,IF(SUM(M179:P179)&lt;='07_Regras_Complexidade'!$D$6,'07_Regras_Complexidade'!$E$6,IF(SUM(M179:P179)&lt;='07_Regras_Complexidade'!$D$7,'07_Regras_Complexidade'!$E$7,IF(SUM(M179:P179)&lt;='07_Regras_Complexidade'!$D$8,'07_Regras_Complexidade'!$E$8,IF(SUM(M179:P179)&lt;='07_Regras_Complexidade'!$D$9,'07_Regras_Complexidade'!$E$9,'07_Regras_Complexidade'!$E$10)))))))</x:f>
      </x:c>
      <x:c r="R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 s="14"/>
      <x:c r="M180"/>
      <x:c r="N180"/>
      <x:c r="O180"/>
      <x:c r="P180"/>
      <x:c r="Q180" s="13" t="str">
        <x:f>IF(B180="","",IF(OR(C180="Sem movimento",C180="Inativo",C180="Encerrado"),'07_Regras_Complexidade'!$E$5,IF(COUNT(M180:P180)&lt;4,'07_Regras_Complexidade'!$E$17,IF(SUM(M180:P180)&lt;='07_Regras_Complexidade'!$D$6,'07_Regras_Complexidade'!$E$6,IF(SUM(M180:P180)&lt;='07_Regras_Complexidade'!$D$7,'07_Regras_Complexidade'!$E$7,IF(SUM(M180:P180)&lt;='07_Regras_Complexidade'!$D$8,'07_Regras_Complexidade'!$E$8,IF(SUM(M180:P180)&lt;='07_Regras_Complexidade'!$D$9,'07_Regras_Complexidade'!$E$9,'07_Regras_Complexidade'!$E$10)))))))</x:f>
      </x:c>
      <x:c r="R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 s="14"/>
      <x:c r="M181"/>
      <x:c r="N181"/>
      <x:c r="O181"/>
      <x:c r="P181"/>
      <x:c r="Q181" s="13" t="str">
        <x:f>IF(B181="","",IF(OR(C181="Sem movimento",C181="Inativo",C181="Encerrado"),'07_Regras_Complexidade'!$E$5,IF(COUNT(M181:P181)&lt;4,'07_Regras_Complexidade'!$E$17,IF(SUM(M181:P181)&lt;='07_Regras_Complexidade'!$D$6,'07_Regras_Complexidade'!$E$6,IF(SUM(M181:P181)&lt;='07_Regras_Complexidade'!$D$7,'07_Regras_Complexidade'!$E$7,IF(SUM(M181:P181)&lt;='07_Regras_Complexidade'!$D$8,'07_Regras_Complexidade'!$E$8,IF(SUM(M181:P181)&lt;='07_Regras_Complexidade'!$D$9,'07_Regras_Complexidade'!$E$9,'07_Regras_Complexidade'!$E$10)))))))</x:f>
      </x:c>
      <x:c r="R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 s="14"/>
      <x:c r="M182"/>
      <x:c r="N182"/>
      <x:c r="O182"/>
      <x:c r="P182"/>
      <x:c r="Q182" s="13" t="str">
        <x:f>IF(B182="","",IF(OR(C182="Sem movimento",C182="Inativo",C182="Encerrado"),'07_Regras_Complexidade'!$E$5,IF(COUNT(M182:P182)&lt;4,'07_Regras_Complexidade'!$E$17,IF(SUM(M182:P182)&lt;='07_Regras_Complexidade'!$D$6,'07_Regras_Complexidade'!$E$6,IF(SUM(M182:P182)&lt;='07_Regras_Complexidade'!$D$7,'07_Regras_Complexidade'!$E$7,IF(SUM(M182:P182)&lt;='07_Regras_Complexidade'!$D$8,'07_Regras_Complexidade'!$E$8,IF(SUM(M182:P182)&lt;='07_Regras_Complexidade'!$D$9,'07_Regras_Complexidade'!$E$9,'07_Regras_Complexidade'!$E$10)))))))</x:f>
      </x:c>
      <x:c r="R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 s="14"/>
      <x:c r="M183"/>
      <x:c r="N183"/>
      <x:c r="O183"/>
      <x:c r="P183"/>
      <x:c r="Q183" s="13" t="str">
        <x:f>IF(B183="","",IF(OR(C183="Sem movimento",C183="Inativo",C183="Encerrado"),'07_Regras_Complexidade'!$E$5,IF(COUNT(M183:P183)&lt;4,'07_Regras_Complexidade'!$E$17,IF(SUM(M183:P183)&lt;='07_Regras_Complexidade'!$D$6,'07_Regras_Complexidade'!$E$6,IF(SUM(M183:P183)&lt;='07_Regras_Complexidade'!$D$7,'07_Regras_Complexidade'!$E$7,IF(SUM(M183:P183)&lt;='07_Regras_Complexidade'!$D$8,'07_Regras_Complexidade'!$E$8,IF(SUM(M183:P183)&lt;='07_Regras_Complexidade'!$D$9,'07_Regras_Complexidade'!$E$9,'07_Regras_Complexidade'!$E$10)))))))</x:f>
      </x:c>
      <x:c r="R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 s="14"/>
      <x:c r="M184"/>
      <x:c r="N184"/>
      <x:c r="O184"/>
      <x:c r="P184"/>
      <x:c r="Q184" s="13" t="str">
        <x:f>IF(B184="","",IF(OR(C184="Sem movimento",C184="Inativo",C184="Encerrado"),'07_Regras_Complexidade'!$E$5,IF(COUNT(M184:P184)&lt;4,'07_Regras_Complexidade'!$E$17,IF(SUM(M184:P184)&lt;='07_Regras_Complexidade'!$D$6,'07_Regras_Complexidade'!$E$6,IF(SUM(M184:P184)&lt;='07_Regras_Complexidade'!$D$7,'07_Regras_Complexidade'!$E$7,IF(SUM(M184:P184)&lt;='07_Regras_Complexidade'!$D$8,'07_Regras_Complexidade'!$E$8,IF(SUM(M184:P184)&lt;='07_Regras_Complexidade'!$D$9,'07_Regras_Complexidade'!$E$9,'07_Regras_Complexidade'!$E$10)))))))</x:f>
      </x:c>
      <x:c r="R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 s="14"/>
      <x:c r="M185"/>
      <x:c r="N185"/>
      <x:c r="O185"/>
      <x:c r="P185"/>
      <x:c r="Q185" s="13" t="str">
        <x:f>IF(B185="","",IF(OR(C185="Sem movimento",C185="Inativo",C185="Encerrado"),'07_Regras_Complexidade'!$E$5,IF(COUNT(M185:P185)&lt;4,'07_Regras_Complexidade'!$E$17,IF(SUM(M185:P185)&lt;='07_Regras_Complexidade'!$D$6,'07_Regras_Complexidade'!$E$6,IF(SUM(M185:P185)&lt;='07_Regras_Complexidade'!$D$7,'07_Regras_Complexidade'!$E$7,IF(SUM(M185:P185)&lt;='07_Regras_Complexidade'!$D$8,'07_Regras_Complexidade'!$E$8,IF(SUM(M185:P185)&lt;='07_Regras_Complexidade'!$D$9,'07_Regras_Complexidade'!$E$9,'07_Regras_Complexidade'!$E$10)))))))</x:f>
      </x:c>
      <x:c r="R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 s="14"/>
      <x:c r="M186"/>
      <x:c r="N186"/>
      <x:c r="O186"/>
      <x:c r="P186"/>
      <x:c r="Q186" s="13" t="str">
        <x:f>IF(B186="","",IF(OR(C186="Sem movimento",C186="Inativo",C186="Encerrado"),'07_Regras_Complexidade'!$E$5,IF(COUNT(M186:P186)&lt;4,'07_Regras_Complexidade'!$E$17,IF(SUM(M186:P186)&lt;='07_Regras_Complexidade'!$D$6,'07_Regras_Complexidade'!$E$6,IF(SUM(M186:P186)&lt;='07_Regras_Complexidade'!$D$7,'07_Regras_Complexidade'!$E$7,IF(SUM(M186:P186)&lt;='07_Regras_Complexidade'!$D$8,'07_Regras_Complexidade'!$E$8,IF(SUM(M186:P186)&lt;='07_Regras_Complexidade'!$D$9,'07_Regras_Complexidade'!$E$9,'07_Regras_Complexidade'!$E$10)))))))</x:f>
      </x:c>
      <x:c r="R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 s="14"/>
      <x:c r="M187"/>
      <x:c r="N187"/>
      <x:c r="O187"/>
      <x:c r="P187"/>
      <x:c r="Q187" s="13" t="str">
        <x:f>IF(B187="","",IF(OR(C187="Sem movimento",C187="Inativo",C187="Encerrado"),'07_Regras_Complexidade'!$E$5,IF(COUNT(M187:P187)&lt;4,'07_Regras_Complexidade'!$E$17,IF(SUM(M187:P187)&lt;='07_Regras_Complexidade'!$D$6,'07_Regras_Complexidade'!$E$6,IF(SUM(M187:P187)&lt;='07_Regras_Complexidade'!$D$7,'07_Regras_Complexidade'!$E$7,IF(SUM(M187:P187)&lt;='07_Regras_Complexidade'!$D$8,'07_Regras_Complexidade'!$E$8,IF(SUM(M187:P187)&lt;='07_Regras_Complexidade'!$D$9,'07_Regras_Complexidade'!$E$9,'07_Regras_Complexidade'!$E$10)))))))</x:f>
      </x:c>
      <x:c r="R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 s="14"/>
      <x:c r="M188"/>
      <x:c r="N188"/>
      <x:c r="O188"/>
      <x:c r="P188"/>
      <x:c r="Q188" s="13" t="str">
        <x:f>IF(B188="","",IF(OR(C188="Sem movimento",C188="Inativo",C188="Encerrado"),'07_Regras_Complexidade'!$E$5,IF(COUNT(M188:P188)&lt;4,'07_Regras_Complexidade'!$E$17,IF(SUM(M188:P188)&lt;='07_Regras_Complexidade'!$D$6,'07_Regras_Complexidade'!$E$6,IF(SUM(M188:P188)&lt;='07_Regras_Complexidade'!$D$7,'07_Regras_Complexidade'!$E$7,IF(SUM(M188:P188)&lt;='07_Regras_Complexidade'!$D$8,'07_Regras_Complexidade'!$E$8,IF(SUM(M188:P188)&lt;='07_Regras_Complexidade'!$D$9,'07_Regras_Complexidade'!$E$9,'07_Regras_Complexidade'!$E$10)))))))</x:f>
      </x:c>
      <x:c r="R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 s="14"/>
      <x:c r="M189"/>
      <x:c r="N189"/>
      <x:c r="O189"/>
      <x:c r="P189"/>
      <x:c r="Q189" s="13" t="str">
        <x:f>IF(B189="","",IF(OR(C189="Sem movimento",C189="Inativo",C189="Encerrado"),'07_Regras_Complexidade'!$E$5,IF(COUNT(M189:P189)&lt;4,'07_Regras_Complexidade'!$E$17,IF(SUM(M189:P189)&lt;='07_Regras_Complexidade'!$D$6,'07_Regras_Complexidade'!$E$6,IF(SUM(M189:P189)&lt;='07_Regras_Complexidade'!$D$7,'07_Regras_Complexidade'!$E$7,IF(SUM(M189:P189)&lt;='07_Regras_Complexidade'!$D$8,'07_Regras_Complexidade'!$E$8,IF(SUM(M189:P189)&lt;='07_Regras_Complexidade'!$D$9,'07_Regras_Complexidade'!$E$9,'07_Regras_Complexidade'!$E$10)))))))</x:f>
      </x:c>
      <x:c r="R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 s="14"/>
      <x:c r="M190"/>
      <x:c r="N190"/>
      <x:c r="O190"/>
      <x:c r="P190"/>
      <x:c r="Q190" s="13" t="str">
        <x:f>IF(B190="","",IF(OR(C190="Sem movimento",C190="Inativo",C190="Encerrado"),'07_Regras_Complexidade'!$E$5,IF(COUNT(M190:P190)&lt;4,'07_Regras_Complexidade'!$E$17,IF(SUM(M190:P190)&lt;='07_Regras_Complexidade'!$D$6,'07_Regras_Complexidade'!$E$6,IF(SUM(M190:P190)&lt;='07_Regras_Complexidade'!$D$7,'07_Regras_Complexidade'!$E$7,IF(SUM(M190:P190)&lt;='07_Regras_Complexidade'!$D$8,'07_Regras_Complexidade'!$E$8,IF(SUM(M190:P190)&lt;='07_Regras_Complexidade'!$D$9,'07_Regras_Complexidade'!$E$9,'07_Regras_Complexidade'!$E$10)))))))</x:f>
      </x:c>
      <x:c r="R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 s="14"/>
      <x:c r="M191"/>
      <x:c r="N191"/>
      <x:c r="O191"/>
      <x:c r="P191"/>
      <x:c r="Q191" s="13" t="str">
        <x:f>IF(B191="","",IF(OR(C191="Sem movimento",C191="Inativo",C191="Encerrado"),'07_Regras_Complexidade'!$E$5,IF(COUNT(M191:P191)&lt;4,'07_Regras_Complexidade'!$E$17,IF(SUM(M191:P191)&lt;='07_Regras_Complexidade'!$D$6,'07_Regras_Complexidade'!$E$6,IF(SUM(M191:P191)&lt;='07_Regras_Complexidade'!$D$7,'07_Regras_Complexidade'!$E$7,IF(SUM(M191:P191)&lt;='07_Regras_Complexidade'!$D$8,'07_Regras_Complexidade'!$E$8,IF(SUM(M191:P191)&lt;='07_Regras_Complexidade'!$D$9,'07_Regras_Complexidade'!$E$9,'07_Regras_Complexidade'!$E$10)))))))</x:f>
      </x:c>
      <x:c r="R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 s="14"/>
      <x:c r="M192"/>
      <x:c r="N192"/>
      <x:c r="O192"/>
      <x:c r="P192"/>
      <x:c r="Q192" s="13" t="str">
        <x:f>IF(B192="","",IF(OR(C192="Sem movimento",C192="Inativo",C192="Encerrado"),'07_Regras_Complexidade'!$E$5,IF(COUNT(M192:P192)&lt;4,'07_Regras_Complexidade'!$E$17,IF(SUM(M192:P192)&lt;='07_Regras_Complexidade'!$D$6,'07_Regras_Complexidade'!$E$6,IF(SUM(M192:P192)&lt;='07_Regras_Complexidade'!$D$7,'07_Regras_Complexidade'!$E$7,IF(SUM(M192:P192)&lt;='07_Regras_Complexidade'!$D$8,'07_Regras_Complexidade'!$E$8,IF(SUM(M192:P192)&lt;='07_Regras_Complexidade'!$D$9,'07_Regras_Complexidade'!$E$9,'07_Regras_Complexidade'!$E$10)))))))</x:f>
      </x:c>
      <x:c r="R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 s="14"/>
      <x:c r="M193"/>
      <x:c r="N193"/>
      <x:c r="O193"/>
      <x:c r="P193"/>
      <x:c r="Q193" s="13" t="str">
        <x:f>IF(B193="","",IF(OR(C193="Sem movimento",C193="Inativo",C193="Encerrado"),'07_Regras_Complexidade'!$E$5,IF(COUNT(M193:P193)&lt;4,'07_Regras_Complexidade'!$E$17,IF(SUM(M193:P193)&lt;='07_Regras_Complexidade'!$D$6,'07_Regras_Complexidade'!$E$6,IF(SUM(M193:P193)&lt;='07_Regras_Complexidade'!$D$7,'07_Regras_Complexidade'!$E$7,IF(SUM(M193:P193)&lt;='07_Regras_Complexidade'!$D$8,'07_Regras_Complexidade'!$E$8,IF(SUM(M193:P193)&lt;='07_Regras_Complexidade'!$D$9,'07_Regras_Complexidade'!$E$9,'07_Regras_Complexidade'!$E$10)))))))</x:f>
      </x:c>
      <x:c r="R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 s="14"/>
      <x:c r="M194"/>
      <x:c r="N194"/>
      <x:c r="O194"/>
      <x:c r="P194"/>
      <x:c r="Q194" s="13" t="str">
        <x:f>IF(B194="","",IF(OR(C194="Sem movimento",C194="Inativo",C194="Encerrado"),'07_Regras_Complexidade'!$E$5,IF(COUNT(M194:P194)&lt;4,'07_Regras_Complexidade'!$E$17,IF(SUM(M194:P194)&lt;='07_Regras_Complexidade'!$D$6,'07_Regras_Complexidade'!$E$6,IF(SUM(M194:P194)&lt;='07_Regras_Complexidade'!$D$7,'07_Regras_Complexidade'!$E$7,IF(SUM(M194:P194)&lt;='07_Regras_Complexidade'!$D$8,'07_Regras_Complexidade'!$E$8,IF(SUM(M194:P194)&lt;='07_Regras_Complexidade'!$D$9,'07_Regras_Complexidade'!$E$9,'07_Regras_Complexidade'!$E$10)))))))</x:f>
      </x:c>
      <x:c r="R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 s="14"/>
      <x:c r="M195"/>
      <x:c r="N195"/>
      <x:c r="O195"/>
      <x:c r="P195"/>
      <x:c r="Q195" s="13" t="str">
        <x:f>IF(B195="","",IF(OR(C195="Sem movimento",C195="Inativo",C195="Encerrado"),'07_Regras_Complexidade'!$E$5,IF(COUNT(M195:P195)&lt;4,'07_Regras_Complexidade'!$E$17,IF(SUM(M195:P195)&lt;='07_Regras_Complexidade'!$D$6,'07_Regras_Complexidade'!$E$6,IF(SUM(M195:P195)&lt;='07_Regras_Complexidade'!$D$7,'07_Regras_Complexidade'!$E$7,IF(SUM(M195:P195)&lt;='07_Regras_Complexidade'!$D$8,'07_Regras_Complexidade'!$E$8,IF(SUM(M195:P195)&lt;='07_Regras_Complexidade'!$D$9,'07_Regras_Complexidade'!$E$9,'07_Regras_Complexidade'!$E$10)))))))</x:f>
      </x:c>
      <x:c r="R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 s="14"/>
      <x:c r="M196"/>
      <x:c r="N196"/>
      <x:c r="O196"/>
      <x:c r="P196"/>
      <x:c r="Q196" s="13" t="str">
        <x:f>IF(B196="","",IF(OR(C196="Sem movimento",C196="Inativo",C196="Encerrado"),'07_Regras_Complexidade'!$E$5,IF(COUNT(M196:P196)&lt;4,'07_Regras_Complexidade'!$E$17,IF(SUM(M196:P196)&lt;='07_Regras_Complexidade'!$D$6,'07_Regras_Complexidade'!$E$6,IF(SUM(M196:P196)&lt;='07_Regras_Complexidade'!$D$7,'07_Regras_Complexidade'!$E$7,IF(SUM(M196:P196)&lt;='07_Regras_Complexidade'!$D$8,'07_Regras_Complexidade'!$E$8,IF(SUM(M196:P196)&lt;='07_Regras_Complexidade'!$D$9,'07_Regras_Complexidade'!$E$9,'07_Regras_Complexidade'!$E$10)))))))</x:f>
      </x:c>
      <x:c r="R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 s="14"/>
      <x:c r="M197"/>
      <x:c r="N197"/>
      <x:c r="O197"/>
      <x:c r="P197"/>
      <x:c r="Q197" s="13" t="str">
        <x:f>IF(B197="","",IF(OR(C197="Sem movimento",C197="Inativo",C197="Encerrado"),'07_Regras_Complexidade'!$E$5,IF(COUNT(M197:P197)&lt;4,'07_Regras_Complexidade'!$E$17,IF(SUM(M197:P197)&lt;='07_Regras_Complexidade'!$D$6,'07_Regras_Complexidade'!$E$6,IF(SUM(M197:P197)&lt;='07_Regras_Complexidade'!$D$7,'07_Regras_Complexidade'!$E$7,IF(SUM(M197:P197)&lt;='07_Regras_Complexidade'!$D$8,'07_Regras_Complexidade'!$E$8,IF(SUM(M197:P197)&lt;='07_Regras_Complexidade'!$D$9,'07_Regras_Complexidade'!$E$9,'07_Regras_Complexidade'!$E$10)))))))</x:f>
      </x:c>
      <x:c r="R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 s="14"/>
      <x:c r="M198"/>
      <x:c r="N198"/>
      <x:c r="O198"/>
      <x:c r="P198"/>
      <x:c r="Q198" s="13" t="str">
        <x:f>IF(B198="","",IF(OR(C198="Sem movimento",C198="Inativo",C198="Encerrado"),'07_Regras_Complexidade'!$E$5,IF(COUNT(M198:P198)&lt;4,'07_Regras_Complexidade'!$E$17,IF(SUM(M198:P198)&lt;='07_Regras_Complexidade'!$D$6,'07_Regras_Complexidade'!$E$6,IF(SUM(M198:P198)&lt;='07_Regras_Complexidade'!$D$7,'07_Regras_Complexidade'!$E$7,IF(SUM(M198:P198)&lt;='07_Regras_Complexidade'!$D$8,'07_Regras_Complexidade'!$E$8,IF(SUM(M198:P198)&lt;='07_Regras_Complexidade'!$D$9,'07_Regras_Complexidade'!$E$9,'07_Regras_Complexidade'!$E$10)))))))</x:f>
      </x:c>
      <x:c r="R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 s="14"/>
      <x:c r="M199"/>
      <x:c r="N199"/>
      <x:c r="O199"/>
      <x:c r="P199"/>
      <x:c r="Q199" s="13" t="str">
        <x:f>IF(B199="","",IF(OR(C199="Sem movimento",C199="Inativo",C199="Encerrado"),'07_Regras_Complexidade'!$E$5,IF(COUNT(M199:P199)&lt;4,'07_Regras_Complexidade'!$E$17,IF(SUM(M199:P199)&lt;='07_Regras_Complexidade'!$D$6,'07_Regras_Complexidade'!$E$6,IF(SUM(M199:P199)&lt;='07_Regras_Complexidade'!$D$7,'07_Regras_Complexidade'!$E$7,IF(SUM(M199:P199)&lt;='07_Regras_Complexidade'!$D$8,'07_Regras_Complexidade'!$E$8,IF(SUM(M199:P199)&lt;='07_Regras_Complexidade'!$D$9,'07_Regras_Complexidade'!$E$9,'07_Regras_Complexidade'!$E$10)))))))</x:f>
      </x:c>
      <x:c r="R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 s="14"/>
      <x:c r="M200"/>
      <x:c r="N200"/>
      <x:c r="O200"/>
      <x:c r="P200"/>
      <x:c r="Q200" s="13" t="str">
        <x:f>IF(B200="","",IF(OR(C200="Sem movimento",C200="Inativo",C200="Encerrado"),'07_Regras_Complexidade'!$E$5,IF(COUNT(M200:P200)&lt;4,'07_Regras_Complexidade'!$E$17,IF(SUM(M200:P200)&lt;='07_Regras_Complexidade'!$D$6,'07_Regras_Complexidade'!$E$6,IF(SUM(M200:P200)&lt;='07_Regras_Complexidade'!$D$7,'07_Regras_Complexidade'!$E$7,IF(SUM(M200:P200)&lt;='07_Regras_Complexidade'!$D$8,'07_Regras_Complexidade'!$E$8,IF(SUM(M200:P200)&lt;='07_Regras_Complexidade'!$D$9,'07_Regras_Complexidade'!$E$9,'07_Regras_Complexidade'!$E$10)))))))</x:f>
      </x:c>
      <x:c r="R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 s="14"/>
      <x:c r="M201"/>
      <x:c r="N201"/>
      <x:c r="O201"/>
      <x:c r="P201"/>
      <x:c r="Q201" s="13" t="str">
        <x:f>IF(B201="","",IF(OR(C201="Sem movimento",C201="Inativo",C201="Encerrado"),'07_Regras_Complexidade'!$E$5,IF(COUNT(M201:P201)&lt;4,'07_Regras_Complexidade'!$E$17,IF(SUM(M201:P201)&lt;='07_Regras_Complexidade'!$D$6,'07_Regras_Complexidade'!$E$6,IF(SUM(M201:P201)&lt;='07_Regras_Complexidade'!$D$7,'07_Regras_Complexidade'!$E$7,IF(SUM(M201:P201)&lt;='07_Regras_Complexidade'!$D$8,'07_Regras_Complexidade'!$E$8,IF(SUM(M201:P201)&lt;='07_Regras_Complexidade'!$D$9,'07_Regras_Complexidade'!$E$9,'07_Regras_Complexidade'!$E$10)))))))</x:f>
      </x:c>
      <x:c r="R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 s="14"/>
      <x:c r="M202"/>
      <x:c r="N202"/>
      <x:c r="O202"/>
      <x:c r="P202"/>
      <x:c r="Q202" s="13" t="str">
        <x:f>IF(B202="","",IF(OR(C202="Sem movimento",C202="Inativo",C202="Encerrado"),'07_Regras_Complexidade'!$E$5,IF(COUNT(M202:P202)&lt;4,'07_Regras_Complexidade'!$E$17,IF(SUM(M202:P202)&lt;='07_Regras_Complexidade'!$D$6,'07_Regras_Complexidade'!$E$6,IF(SUM(M202:P202)&lt;='07_Regras_Complexidade'!$D$7,'07_Regras_Complexidade'!$E$7,IF(SUM(M202:P202)&lt;='07_Regras_Complexidade'!$D$8,'07_Regras_Complexidade'!$E$8,IF(SUM(M202:P202)&lt;='07_Regras_Complexidade'!$D$9,'07_Regras_Complexidade'!$E$9,'07_Regras_Complexidade'!$E$10)))))))</x:f>
      </x:c>
      <x:c r="R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 s="14"/>
      <x:c r="M203"/>
      <x:c r="N203"/>
      <x:c r="O203"/>
      <x:c r="P203"/>
      <x:c r="Q203" s="13" t="str">
        <x:f>IF(B203="","",IF(OR(C203="Sem movimento",C203="Inativo",C203="Encerrado"),'07_Regras_Complexidade'!$E$5,IF(COUNT(M203:P203)&lt;4,'07_Regras_Complexidade'!$E$17,IF(SUM(M203:P203)&lt;='07_Regras_Complexidade'!$D$6,'07_Regras_Complexidade'!$E$6,IF(SUM(M203:P203)&lt;='07_Regras_Complexidade'!$D$7,'07_Regras_Complexidade'!$E$7,IF(SUM(M203:P203)&lt;='07_Regras_Complexidade'!$D$8,'07_Regras_Complexidade'!$E$8,IF(SUM(M203:P203)&lt;='07_Regras_Complexidade'!$D$9,'07_Regras_Complexidade'!$E$9,'07_Regras_Complexidade'!$E$10)))))))</x:f>
      </x:c>
      <x:c r="R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 s="14"/>
      <x:c r="M204"/>
      <x:c r="N204"/>
      <x:c r="O204"/>
      <x:c r="P204"/>
      <x:c r="Q204" s="13" t="str">
        <x:f>IF(B204="","",IF(OR(C204="Sem movimento",C204="Inativo",C204="Encerrado"),'07_Regras_Complexidade'!$E$5,IF(COUNT(M204:P204)&lt;4,'07_Regras_Complexidade'!$E$17,IF(SUM(M204:P204)&lt;='07_Regras_Complexidade'!$D$6,'07_Regras_Complexidade'!$E$6,IF(SUM(M204:P204)&lt;='07_Regras_Complexidade'!$D$7,'07_Regras_Complexidade'!$E$7,IF(SUM(M204:P204)&lt;='07_Regras_Complexidade'!$D$8,'07_Regras_Complexidade'!$E$8,IF(SUM(M204:P204)&lt;='07_Regras_Complexidade'!$D$9,'07_Regras_Complexidade'!$E$9,'07_Regras_Complexidade'!$E$10)))))))</x:f>
      </x:c>
      <x:c r="R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 s="14"/>
      <x:c r="M205"/>
      <x:c r="N205"/>
      <x:c r="O205"/>
      <x:c r="P205"/>
      <x:c r="Q205" s="13" t="str">
        <x:f>IF(B205="","",IF(OR(C205="Sem movimento",C205="Inativo",C205="Encerrado"),'07_Regras_Complexidade'!$E$5,IF(COUNT(M205:P205)&lt;4,'07_Regras_Complexidade'!$E$17,IF(SUM(M205:P205)&lt;='07_Regras_Complexidade'!$D$6,'07_Regras_Complexidade'!$E$6,IF(SUM(M205:P205)&lt;='07_Regras_Complexidade'!$D$7,'07_Regras_Complexidade'!$E$7,IF(SUM(M205:P205)&lt;='07_Regras_Complexidade'!$D$8,'07_Regras_Complexidade'!$E$8,IF(SUM(M205:P205)&lt;='07_Regras_Complexidade'!$D$9,'07_Regras_Complexidade'!$E$9,'07_Regras_Complexidade'!$E$10)))))))</x:f>
      </x:c>
      <x:c r="R205"/>
    </x:row>
  </x:sheetData>
  <x:mergeCells>
    <x:mergeCell ref="A1:P1"/>
    <x:mergeCell ref="A2:P2"/>
  </x:mergeCells>
  <x:dataValidations count="8">
    <x:dataValidation type="list" allowBlank="1" showDropDown="0" sqref="C5:C205">
      <x:formula1>"Ativo,Sem movimento,Inativo,Encerrado"</x:formula1>
    </x:dataValidation>
    <x:dataValidation type="list" allowBlank="1" showDropDown="0" sqref="F5:F205">
      <x:formula1>"MEI,Simples Nacional,Lucro Presumido,Lucro Real,Lucro Arbitrado,Imune,Isenta"</x:formula1>
    </x:dataValidation>
    <x:dataValidation type="list" sqref="G5:G205">
      <x:formula1>'05_Cadastros'!$B$12:$B$18</x:formula1>
    </x:dataValidation>
    <x:dataValidation type="list" sqref="H5:H205">
      <x:formula1>'05_Cadastros'!$B$19:$B$24</x:formula1>
    </x:dataValidation>
    <x:dataValidation type="list" sqref="I5:I205">
      <x:formula1>'05_Cadastros'!$B$25:$B$29</x:formula1>
    </x:dataValidation>
    <x:dataValidation type="list" sqref="J5:J205">
      <x:formula1>'05_Cadastros'!$B$30:$B$33</x:formula1>
    </x:dataValidation>
    <x:dataValidation type="list" sqref="K5:K205">
      <x:formula1>'05_Cadastros'!$B$34:$B$40</x:formula1>
    </x:dataValidation>
    <x:dataValidation type="list" allowBlank="1" showDropDown="0" sqref="M5:P205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a62779308144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18" customWidth="1"/>
    <x:col min="3" max="7" width="24" customWidth="1"/>
    <x:col min="8" max="15" width="18" customWidth="1"/>
    <x:col min="1" max="1" width="12" hidden="0" customWidth="1"/>
    <x:col min="2" max="2" width="18" hidden="0" customWidth="1"/>
    <x:col min="3" max="3" width="16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21" hidden="0" customWidth="1"/>
    <x:col min="11" max="11" width="19" hidden="0" customWidth="1"/>
    <x:col min="12" max="12" width="18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5" hidden="0" customWidth="1"/>
    <x:col min="18" max="18" width="17" hidden="0" customWidth="1"/>
    <x:col min="19" max="19" width="22" hidden="0" customWidth="1"/>
  </x:cols>
  <x:sheetData>
    <x:row r="1" ht="26" customHeight="1">
      <x:c r="A1" s="9" t="str">
        <x:v>04 — PESSOAL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</x:row>
    <x:row r="2" ht="24" customHeight="1">
      <x:c r="A2" s="12" t="str">
        <x:v>Uma linha por CNPJ/CPF ativo na frente e no ciclo. Total de vínculos, nota de volume e classe calculados automaticamente.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4" ht="44" customHeight="1">
      <x:c r="A4" s="15" t="str">
        <x:v>Ciclo</x:v>
      </x:c>
      <x:c r="B4" s="15" t="str">
        <x:v>CNPJ/CPF</x:v>
      </x:c>
      <x:c r="C4" s="15" t="str">
        <x:v>Status da frente</x:v>
      </x:c>
      <x:c r="D4" s="15" t="str">
        <x:v>Responsável principal</x:v>
      </x:c>
      <x:c r="E4" s="15" t="str">
        <x:v>Responsável secundário</x:v>
      </x:c>
      <x:c r="F4" s="15" t="str">
        <x:v>Qtd. Funcionários</x:v>
      </x:c>
      <x:c r="G4" s="15" t="str">
        <x:v>Qtd. Pró-labores</x:v>
      </x:c>
      <x:c r="H4" s="15" t="str">
        <x:v>Qtd. Domésticas</x:v>
      </x:c>
      <x:c r="I4" s="15" t="str">
        <x:v>Total de Vínculos</x:v>
      </x:c>
      <x:c r="J4" s="15" t="str">
        <x:v>Recebimento documentos</x:v>
      </x:c>
      <x:c r="K4" s="15" t="str">
        <x:v>Recebimento variáveis</x:v>
      </x:c>
      <x:c r="L4" s="15" t="str">
        <x:v>Recebimento ponto</x:v>
      </x:c>
      <x:c r="M4" s="15" t="str">
        <x:v>Envio documentos</x:v>
      </x:c>
      <x:c r="N4" s="15" t="str">
        <x:v>Nota Volume (calculada)</x:v>
      </x:c>
      <x:c r="O4" s="15" t="str">
        <x:v>Nota Atendimento</x:v>
      </x:c>
      <x:c r="P4" s="15" t="str">
        <x:v>Nota Organização</x:v>
      </x:c>
      <x:c r="Q4" s="15" t="str">
        <x:v>Nota Rotatividade</x:v>
      </x:c>
      <x:c r="R4" s="15" t="str">
        <x:v>Complexidade calculada</x:v>
      </x:c>
      <x:c r="S4" s="15" t="str">
        <x:v>Observações</x:v>
      </x:c>
    </x:row>
    <x:row r="5">
      <x:c r="A5" t="str">
        <x:v>2026-08</x:v>
      </x:c>
      <x:c r="B5" t="str">
        <x:v>12.345.678/0001-90</x:v>
      </x:c>
      <x:c r="C5" t="str">
        <x:v>Ativo</x:v>
      </x:c>
      <x:c r="D5" t="str">
        <x:v>Carla Souza</x:v>
      </x:c>
      <x:c r="E5"/>
      <x:c r="F5" t="n">
        <x:v>30</x:v>
      </x:c>
      <x:c r="G5" t="n">
        <x:v>3</x:v>
      </x:c>
      <x:c r="H5" t="n">
        <x:v>2</x:v>
      </x:c>
      <x:c r="I5" s="13" t="n">
        <x:f>IF(B5="","",IF(COUNT(F5:H5)&lt;3,"",SUM(F5:H5)))</x:f>
        <x:v>35</x:v>
      </x:c>
      <x:c r="J5" t="str">
        <x:v>Portal</x:v>
      </x:c>
      <x:c r="K5" t="str">
        <x:v>Portal/Formulário</x:v>
      </x:c>
      <x:c r="L5" t="str">
        <x:v>Sistema de ponto integrado</x:v>
      </x:c>
      <x:c r="M5" t="str">
        <x:v>Portal</x:v>
      </x:c>
      <x:c r="N5" s="13" t="n">
        <x:f>IF(I5="","",IF(I5&lt;='07_Regras_Complexidade'!$C$21,'07_Regras_Complexidade'!$D$21,IF(I5&lt;='07_Regras_Complexidade'!$C$22,'07_Regras_Complexidade'!$D$22,'07_Regras_Complexidade'!$D$23)))</x:f>
        <x:v>2</x:v>
      </x:c>
      <x:c r="O5" t="n">
        <x:v>2</x:v>
      </x:c>
      <x:c r="P5" t="n">
        <x:v>1</x:v>
      </x:c>
      <x:c r="Q5" t="n">
        <x:v>2</x:v>
      </x:c>
      <x:c r="R5" s="13" t="str">
        <x:f>IF(B5="","",IF(OR(C5="Sem movimento",C5="Inativo",C5="Encerrado"),'07_Regras_Complexidade'!$E$11,IF(COUNT(N5:Q5)&lt;4,'07_Regras_Complexidade'!$E$17,IF(SUM(N5:Q5)&lt;='07_Regras_Complexidade'!$D$12,'07_Regras_Complexidade'!$E$12,IF(SUM(N5:Q5)&lt;='07_Regras_Complexidade'!$D$13,'07_Regras_Complexidade'!$E$13,IF(SUM(N5:Q5)&lt;='07_Regras_Complexidade'!$D$14,'07_Regras_Complexidade'!$E$14,IF(SUM(N5:Q5)&lt;='07_Regras_Complexidade'!$D$15,'07_Regras_Complexidade'!$E$15,'07_Regras_Complexidade'!$E$16)))))))</x:f>
        <x:v>C2</x:v>
      </x:c>
      <x:c r="S5" t="str">
        <x:v>Exemplo</x:v>
      </x:c>
    </x:row>
    <x:row r="6">
      <x:c r="A6"/>
      <x:c r="B6"/>
      <x:c r="C6"/>
      <x:c r="D6"/>
      <x:c r="E6"/>
      <x:c r="F6"/>
      <x:c r="G6"/>
      <x:c r="H6"/>
      <x:c r="I6" s="13" t="str">
        <x:f>IF(B6="","",IF(COUNT(F6:H6)&lt;3,"",SUM(F6:H6)))</x:f>
      </x:c>
      <x:c r="J6"/>
      <x:c r="K6"/>
      <x:c r="L6"/>
      <x:c r="M6"/>
      <x:c r="N6" s="13" t="str">
        <x:f>IF(I6="","",IF(I6&lt;='07_Regras_Complexidade'!$C$21,'07_Regras_Complexidade'!$D$21,IF(I6&lt;='07_Regras_Complexidade'!$C$22,'07_Regras_Complexidade'!$D$22,'07_Regras_Complexidade'!$D$23)))</x:f>
      </x:c>
      <x:c r="O6"/>
      <x:c r="P6"/>
      <x:c r="Q6"/>
      <x:c r="R6" s="13" t="str">
        <x:f>IF(B6="","",IF(OR(C6="Sem movimento",C6="Inativo",C6="Encerrado"),'07_Regras_Complexidade'!$E$11,IF(COUNT(N6:Q6)&lt;4,'07_Regras_Complexidade'!$E$17,IF(SUM(N6:Q6)&lt;='07_Regras_Complexidade'!$D$12,'07_Regras_Complexidade'!$E$12,IF(SUM(N6:Q6)&lt;='07_Regras_Complexidade'!$D$13,'07_Regras_Complexidade'!$E$13,IF(SUM(N6:Q6)&lt;='07_Regras_Complexidade'!$D$14,'07_Regras_Complexidade'!$E$14,IF(SUM(N6:Q6)&lt;='07_Regras_Complexidade'!$D$15,'07_Regras_Complexidade'!$E$15,'07_Regras_Complexidade'!$E$16)))))))</x:f>
      </x:c>
      <x:c r="S6"/>
    </x:row>
    <x:row r="7">
      <x:c r="A7"/>
      <x:c r="B7"/>
      <x:c r="C7"/>
      <x:c r="D7"/>
      <x:c r="E7"/>
      <x:c r="F7"/>
      <x:c r="G7"/>
      <x:c r="H7"/>
      <x:c r="I7" s="13" t="str">
        <x:f>IF(B7="","",IF(COUNT(F7:H7)&lt;3,"",SUM(F7:H7)))</x:f>
      </x:c>
      <x:c r="J7"/>
      <x:c r="K7"/>
      <x:c r="L7"/>
      <x:c r="M7"/>
      <x:c r="N7" s="13" t="str">
        <x:f>IF(I7="","",IF(I7&lt;='07_Regras_Complexidade'!$C$21,'07_Regras_Complexidade'!$D$21,IF(I7&lt;='07_Regras_Complexidade'!$C$22,'07_Regras_Complexidade'!$D$22,'07_Regras_Complexidade'!$D$23)))</x:f>
      </x:c>
      <x:c r="O7"/>
      <x:c r="P7"/>
      <x:c r="Q7"/>
      <x:c r="R7" s="13" t="str">
        <x:f>IF(B7="","",IF(OR(C7="Sem movimento",C7="Inativo",C7="Encerrado"),'07_Regras_Complexidade'!$E$11,IF(COUNT(N7:Q7)&lt;4,'07_Regras_Complexidade'!$E$17,IF(SUM(N7:Q7)&lt;='07_Regras_Complexidade'!$D$12,'07_Regras_Complexidade'!$E$12,IF(SUM(N7:Q7)&lt;='07_Regras_Complexidade'!$D$13,'07_Regras_Complexidade'!$E$13,IF(SUM(N7:Q7)&lt;='07_Regras_Complexidade'!$D$14,'07_Regras_Complexidade'!$E$14,IF(SUM(N7:Q7)&lt;='07_Regras_Complexidade'!$D$15,'07_Regras_Complexidade'!$E$15,'07_Regras_Complexidade'!$E$16)))))))</x:f>
      </x:c>
      <x:c r="S7"/>
    </x:row>
    <x:row r="8">
      <x:c r="A8"/>
      <x:c r="B8"/>
      <x:c r="C8"/>
      <x:c r="D8"/>
      <x:c r="E8"/>
      <x:c r="F8"/>
      <x:c r="G8"/>
      <x:c r="H8"/>
      <x:c r="I8" s="13" t="str">
        <x:f>IF(B8="","",IF(COUNT(F8:H8)&lt;3,"",SUM(F8:H8)))</x:f>
      </x:c>
      <x:c r="J8"/>
      <x:c r="K8"/>
      <x:c r="L8"/>
      <x:c r="M8"/>
      <x:c r="N8" s="13" t="str">
        <x:f>IF(I8="","",IF(I8&lt;='07_Regras_Complexidade'!$C$21,'07_Regras_Complexidade'!$D$21,IF(I8&lt;='07_Regras_Complexidade'!$C$22,'07_Regras_Complexidade'!$D$22,'07_Regras_Complexidade'!$D$23)))</x:f>
      </x:c>
      <x:c r="O8"/>
      <x:c r="P8"/>
      <x:c r="Q8"/>
      <x:c r="R8" s="13" t="str">
        <x:f>IF(B8="","",IF(OR(C8="Sem movimento",C8="Inativo",C8="Encerrado"),'07_Regras_Complexidade'!$E$11,IF(COUNT(N8:Q8)&lt;4,'07_Regras_Complexidade'!$E$17,IF(SUM(N8:Q8)&lt;='07_Regras_Complexidade'!$D$12,'07_Regras_Complexidade'!$E$12,IF(SUM(N8:Q8)&lt;='07_Regras_Complexidade'!$D$13,'07_Regras_Complexidade'!$E$13,IF(SUM(N8:Q8)&lt;='07_Regras_Complexidade'!$D$14,'07_Regras_Complexidade'!$E$14,IF(SUM(N8:Q8)&lt;='07_Regras_Complexidade'!$D$15,'07_Regras_Complexidade'!$E$15,'07_Regras_Complexidade'!$E$16)))))))</x:f>
      </x:c>
      <x:c r="S8"/>
    </x:row>
    <x:row r="9">
      <x:c r="A9"/>
      <x:c r="B9"/>
      <x:c r="C9"/>
      <x:c r="D9"/>
      <x:c r="E9"/>
      <x:c r="F9"/>
      <x:c r="G9"/>
      <x:c r="H9"/>
      <x:c r="I9" s="13" t="str">
        <x:f>IF(B9="","",IF(COUNT(F9:H9)&lt;3,"",SUM(F9:H9)))</x:f>
      </x:c>
      <x:c r="J9"/>
      <x:c r="K9"/>
      <x:c r="L9"/>
      <x:c r="M9"/>
      <x:c r="N9" s="13" t="str">
        <x:f>IF(I9="","",IF(I9&lt;='07_Regras_Complexidade'!$C$21,'07_Regras_Complexidade'!$D$21,IF(I9&lt;='07_Regras_Complexidade'!$C$22,'07_Regras_Complexidade'!$D$22,'07_Regras_Complexidade'!$D$23)))</x:f>
      </x:c>
      <x:c r="O9"/>
      <x:c r="P9"/>
      <x:c r="Q9"/>
      <x:c r="R9" s="13" t="str">
        <x:f>IF(B9="","",IF(OR(C9="Sem movimento",C9="Inativo",C9="Encerrado"),'07_Regras_Complexidade'!$E$11,IF(COUNT(N9:Q9)&lt;4,'07_Regras_Complexidade'!$E$17,IF(SUM(N9:Q9)&lt;='07_Regras_Complexidade'!$D$12,'07_Regras_Complexidade'!$E$12,IF(SUM(N9:Q9)&lt;='07_Regras_Complexidade'!$D$13,'07_Regras_Complexidade'!$E$13,IF(SUM(N9:Q9)&lt;='07_Regras_Complexidade'!$D$14,'07_Regras_Complexidade'!$E$14,IF(SUM(N9:Q9)&lt;='07_Regras_Complexidade'!$D$15,'07_Regras_Complexidade'!$E$15,'07_Regras_Complexidade'!$E$16)))))))</x:f>
      </x:c>
      <x:c r="S9"/>
    </x:row>
    <x:row r="10">
      <x:c r="A10"/>
      <x:c r="B10"/>
      <x:c r="C10"/>
      <x:c r="D10"/>
      <x:c r="E10"/>
      <x:c r="F10"/>
      <x:c r="G10"/>
      <x:c r="H10"/>
      <x:c r="I10" s="13" t="str">
        <x:f>IF(B10="","",IF(COUNT(F10:H10)&lt;3,"",SUM(F10:H10)))</x:f>
      </x:c>
      <x:c r="J10"/>
      <x:c r="K10"/>
      <x:c r="L10"/>
      <x:c r="M10"/>
      <x:c r="N10" s="13" t="str">
        <x:f>IF(I10="","",IF(I10&lt;='07_Regras_Complexidade'!$C$21,'07_Regras_Complexidade'!$D$21,IF(I10&lt;='07_Regras_Complexidade'!$C$22,'07_Regras_Complexidade'!$D$22,'07_Regras_Complexidade'!$D$23)))</x:f>
      </x:c>
      <x:c r="O10"/>
      <x:c r="P10"/>
      <x:c r="Q10"/>
      <x:c r="R10" s="13" t="str">
        <x:f>IF(B10="","",IF(OR(C10="Sem movimento",C10="Inativo",C10="Encerrado"),'07_Regras_Complexidade'!$E$11,IF(COUNT(N10:Q10)&lt;4,'07_Regras_Complexidade'!$E$17,IF(SUM(N10:Q10)&lt;='07_Regras_Complexidade'!$D$12,'07_Regras_Complexidade'!$E$12,IF(SUM(N10:Q10)&lt;='07_Regras_Complexidade'!$D$13,'07_Regras_Complexidade'!$E$13,IF(SUM(N10:Q10)&lt;='07_Regras_Complexidade'!$D$14,'07_Regras_Complexidade'!$E$14,IF(SUM(N10:Q10)&lt;='07_Regras_Complexidade'!$D$15,'07_Regras_Complexidade'!$E$15,'07_Regras_Complexidade'!$E$16)))))))</x:f>
      </x:c>
      <x:c r="S10"/>
    </x:row>
    <x:row r="11">
      <x:c r="A11"/>
      <x:c r="B11"/>
      <x:c r="C11"/>
      <x:c r="D11"/>
      <x:c r="E11"/>
      <x:c r="F11"/>
      <x:c r="G11"/>
      <x:c r="H11"/>
      <x:c r="I11" s="13" t="str">
        <x:f>IF(B11="","",IF(COUNT(F11:H11)&lt;3,"",SUM(F11:H11)))</x:f>
      </x:c>
      <x:c r="J11"/>
      <x:c r="K11"/>
      <x:c r="L11"/>
      <x:c r="M11"/>
      <x:c r="N11" s="13" t="str">
        <x:f>IF(I11="","",IF(I11&lt;='07_Regras_Complexidade'!$C$21,'07_Regras_Complexidade'!$D$21,IF(I11&lt;='07_Regras_Complexidade'!$C$22,'07_Regras_Complexidade'!$D$22,'07_Regras_Complexidade'!$D$23)))</x:f>
      </x:c>
      <x:c r="O11"/>
      <x:c r="P11"/>
      <x:c r="Q11"/>
      <x:c r="R11" s="13" t="str">
        <x:f>IF(B11="","",IF(OR(C11="Sem movimento",C11="Inativo",C11="Encerrado"),'07_Regras_Complexidade'!$E$11,IF(COUNT(N11:Q11)&lt;4,'07_Regras_Complexidade'!$E$17,IF(SUM(N11:Q11)&lt;='07_Regras_Complexidade'!$D$12,'07_Regras_Complexidade'!$E$12,IF(SUM(N11:Q11)&lt;='07_Regras_Complexidade'!$D$13,'07_Regras_Complexidade'!$E$13,IF(SUM(N11:Q11)&lt;='07_Regras_Complexidade'!$D$14,'07_Regras_Complexidade'!$E$14,IF(SUM(N11:Q11)&lt;='07_Regras_Complexidade'!$D$15,'07_Regras_Complexidade'!$E$15,'07_Regras_Complexidade'!$E$16)))))))</x:f>
      </x:c>
      <x:c r="S11"/>
    </x:row>
    <x:row r="12">
      <x:c r="A12"/>
      <x:c r="B12"/>
      <x:c r="C12"/>
      <x:c r="D12"/>
      <x:c r="E12"/>
      <x:c r="F12"/>
      <x:c r="G12"/>
      <x:c r="H12"/>
      <x:c r="I12" s="13" t="str">
        <x:f>IF(B12="","",IF(COUNT(F12:H12)&lt;3,"",SUM(F12:H12)))</x:f>
      </x:c>
      <x:c r="J12"/>
      <x:c r="K12"/>
      <x:c r="L12"/>
      <x:c r="M12"/>
      <x:c r="N12" s="13" t="str">
        <x:f>IF(I12="","",IF(I12&lt;='07_Regras_Complexidade'!$C$21,'07_Regras_Complexidade'!$D$21,IF(I12&lt;='07_Regras_Complexidade'!$C$22,'07_Regras_Complexidade'!$D$22,'07_Regras_Complexidade'!$D$23)))</x:f>
      </x:c>
      <x:c r="O12"/>
      <x:c r="P12"/>
      <x:c r="Q12"/>
      <x:c r="R12" s="13" t="str">
        <x:f>IF(B12="","",IF(OR(C12="Sem movimento",C12="Inativo",C12="Encerrado"),'07_Regras_Complexidade'!$E$11,IF(COUNT(N12:Q12)&lt;4,'07_Regras_Complexidade'!$E$17,IF(SUM(N12:Q12)&lt;='07_Regras_Complexidade'!$D$12,'07_Regras_Complexidade'!$E$12,IF(SUM(N12:Q12)&lt;='07_Regras_Complexidade'!$D$13,'07_Regras_Complexidade'!$E$13,IF(SUM(N12:Q12)&lt;='07_Regras_Complexidade'!$D$14,'07_Regras_Complexidade'!$E$14,IF(SUM(N12:Q12)&lt;='07_Regras_Complexidade'!$D$15,'07_Regras_Complexidade'!$E$15,'07_Regras_Complexidade'!$E$16)))))))</x:f>
      </x:c>
      <x:c r="S12"/>
    </x:row>
    <x:row r="13">
      <x:c r="A13"/>
      <x:c r="B13"/>
      <x:c r="C13"/>
      <x:c r="D13"/>
      <x:c r="E13"/>
      <x:c r="F13"/>
      <x:c r="G13"/>
      <x:c r="H13"/>
      <x:c r="I13" s="13" t="str">
        <x:f>IF(B13="","",IF(COUNT(F13:H13)&lt;3,"",SUM(F13:H13)))</x:f>
      </x:c>
      <x:c r="J13"/>
      <x:c r="K13"/>
      <x:c r="L13"/>
      <x:c r="M13"/>
      <x:c r="N13" s="13" t="str">
        <x:f>IF(I13="","",IF(I13&lt;='07_Regras_Complexidade'!$C$21,'07_Regras_Complexidade'!$D$21,IF(I13&lt;='07_Regras_Complexidade'!$C$22,'07_Regras_Complexidade'!$D$22,'07_Regras_Complexidade'!$D$23)))</x:f>
      </x:c>
      <x:c r="O13"/>
      <x:c r="P13"/>
      <x:c r="Q13"/>
      <x:c r="R13" s="13" t="str">
        <x:f>IF(B13="","",IF(OR(C13="Sem movimento",C13="Inativo",C13="Encerrado"),'07_Regras_Complexidade'!$E$11,IF(COUNT(N13:Q13)&lt;4,'07_Regras_Complexidade'!$E$17,IF(SUM(N13:Q13)&lt;='07_Regras_Complexidade'!$D$12,'07_Regras_Complexidade'!$E$12,IF(SUM(N13:Q13)&lt;='07_Regras_Complexidade'!$D$13,'07_Regras_Complexidade'!$E$13,IF(SUM(N13:Q13)&lt;='07_Regras_Complexidade'!$D$14,'07_Regras_Complexidade'!$E$14,IF(SUM(N13:Q13)&lt;='07_Regras_Complexidade'!$D$15,'07_Regras_Complexidade'!$E$15,'07_Regras_Complexidade'!$E$16)))))))</x:f>
      </x:c>
      <x:c r="S13"/>
    </x:row>
    <x:row r="14">
      <x:c r="A14"/>
      <x:c r="B14"/>
      <x:c r="C14"/>
      <x:c r="D14"/>
      <x:c r="E14"/>
      <x:c r="F14"/>
      <x:c r="G14"/>
      <x:c r="H14"/>
      <x:c r="I14" s="13" t="str">
        <x:f>IF(B14="","",IF(COUNT(F14:H14)&lt;3,"",SUM(F14:H14)))</x:f>
      </x:c>
      <x:c r="J14"/>
      <x:c r="K14"/>
      <x:c r="L14"/>
      <x:c r="M14"/>
      <x:c r="N14" s="13" t="str">
        <x:f>IF(I14="","",IF(I14&lt;='07_Regras_Complexidade'!$C$21,'07_Regras_Complexidade'!$D$21,IF(I14&lt;='07_Regras_Complexidade'!$C$22,'07_Regras_Complexidade'!$D$22,'07_Regras_Complexidade'!$D$23)))</x:f>
      </x:c>
      <x:c r="O14"/>
      <x:c r="P14"/>
      <x:c r="Q14"/>
      <x:c r="R14" s="13" t="str">
        <x:f>IF(B14="","",IF(OR(C14="Sem movimento",C14="Inativo",C14="Encerrado"),'07_Regras_Complexidade'!$E$11,IF(COUNT(N14:Q14)&lt;4,'07_Regras_Complexidade'!$E$17,IF(SUM(N14:Q14)&lt;='07_Regras_Complexidade'!$D$12,'07_Regras_Complexidade'!$E$12,IF(SUM(N14:Q14)&lt;='07_Regras_Complexidade'!$D$13,'07_Regras_Complexidade'!$E$13,IF(SUM(N14:Q14)&lt;='07_Regras_Complexidade'!$D$14,'07_Regras_Complexidade'!$E$14,IF(SUM(N14:Q14)&lt;='07_Regras_Complexidade'!$D$15,'07_Regras_Complexidade'!$E$15,'07_Regras_Complexidade'!$E$16)))))))</x:f>
      </x:c>
      <x:c r="S14"/>
    </x:row>
    <x:row r="15">
      <x:c r="A15"/>
      <x:c r="B15"/>
      <x:c r="C15"/>
      <x:c r="D15"/>
      <x:c r="E15"/>
      <x:c r="F15"/>
      <x:c r="G15"/>
      <x:c r="H15"/>
      <x:c r="I15" s="13" t="str">
        <x:f>IF(B15="","",IF(COUNT(F15:H15)&lt;3,"",SUM(F15:H15)))</x:f>
      </x:c>
      <x:c r="J15"/>
      <x:c r="K15"/>
      <x:c r="L15"/>
      <x:c r="M15"/>
      <x:c r="N15" s="13" t="str">
        <x:f>IF(I15="","",IF(I15&lt;='07_Regras_Complexidade'!$C$21,'07_Regras_Complexidade'!$D$21,IF(I15&lt;='07_Regras_Complexidade'!$C$22,'07_Regras_Complexidade'!$D$22,'07_Regras_Complexidade'!$D$23)))</x:f>
      </x:c>
      <x:c r="O15"/>
      <x:c r="P15"/>
      <x:c r="Q15"/>
      <x:c r="R15" s="13" t="str">
        <x:f>IF(B15="","",IF(OR(C15="Sem movimento",C15="Inativo",C15="Encerrado"),'07_Regras_Complexidade'!$E$11,IF(COUNT(N15:Q15)&lt;4,'07_Regras_Complexidade'!$E$17,IF(SUM(N15:Q15)&lt;='07_Regras_Complexidade'!$D$12,'07_Regras_Complexidade'!$E$12,IF(SUM(N15:Q15)&lt;='07_Regras_Complexidade'!$D$13,'07_Regras_Complexidade'!$E$13,IF(SUM(N15:Q15)&lt;='07_Regras_Complexidade'!$D$14,'07_Regras_Complexidade'!$E$14,IF(SUM(N15:Q15)&lt;='07_Regras_Complexidade'!$D$15,'07_Regras_Complexidade'!$E$15,'07_Regras_Complexidade'!$E$16)))))))</x:f>
      </x:c>
      <x:c r="S15"/>
    </x:row>
    <x:row r="16">
      <x:c r="A16"/>
      <x:c r="B16"/>
      <x:c r="C16"/>
      <x:c r="D16"/>
      <x:c r="E16"/>
      <x:c r="F16"/>
      <x:c r="G16"/>
      <x:c r="H16"/>
      <x:c r="I16" s="13" t="str">
        <x:f>IF(B16="","",IF(COUNT(F16:H16)&lt;3,"",SUM(F16:H16)))</x:f>
      </x:c>
      <x:c r="J16"/>
      <x:c r="K16"/>
      <x:c r="L16"/>
      <x:c r="M16"/>
      <x:c r="N16" s="13" t="str">
        <x:f>IF(I16="","",IF(I16&lt;='07_Regras_Complexidade'!$C$21,'07_Regras_Complexidade'!$D$21,IF(I16&lt;='07_Regras_Complexidade'!$C$22,'07_Regras_Complexidade'!$D$22,'07_Regras_Complexidade'!$D$23)))</x:f>
      </x:c>
      <x:c r="O16"/>
      <x:c r="P16"/>
      <x:c r="Q16"/>
      <x:c r="R16" s="13" t="str">
        <x:f>IF(B16="","",IF(OR(C16="Sem movimento",C16="Inativo",C16="Encerrado"),'07_Regras_Complexidade'!$E$11,IF(COUNT(N16:Q16)&lt;4,'07_Regras_Complexidade'!$E$17,IF(SUM(N16:Q16)&lt;='07_Regras_Complexidade'!$D$12,'07_Regras_Complexidade'!$E$12,IF(SUM(N16:Q16)&lt;='07_Regras_Complexidade'!$D$13,'07_Regras_Complexidade'!$E$13,IF(SUM(N16:Q16)&lt;='07_Regras_Complexidade'!$D$14,'07_Regras_Complexidade'!$E$14,IF(SUM(N16:Q16)&lt;='07_Regras_Complexidade'!$D$15,'07_Regras_Complexidade'!$E$15,'07_Regras_Complexidade'!$E$16)))))))</x:f>
      </x:c>
      <x:c r="S16"/>
    </x:row>
    <x:row r="17">
      <x:c r="A17"/>
      <x:c r="B17"/>
      <x:c r="C17"/>
      <x:c r="D17"/>
      <x:c r="E17"/>
      <x:c r="F17"/>
      <x:c r="G17"/>
      <x:c r="H17"/>
      <x:c r="I17" s="13" t="str">
        <x:f>IF(B17="","",IF(COUNT(F17:H17)&lt;3,"",SUM(F17:H17)))</x:f>
      </x:c>
      <x:c r="J17"/>
      <x:c r="K17"/>
      <x:c r="L17"/>
      <x:c r="M17"/>
      <x:c r="N17" s="13" t="str">
        <x:f>IF(I17="","",IF(I17&lt;='07_Regras_Complexidade'!$C$21,'07_Regras_Complexidade'!$D$21,IF(I17&lt;='07_Regras_Complexidade'!$C$22,'07_Regras_Complexidade'!$D$22,'07_Regras_Complexidade'!$D$23)))</x:f>
      </x:c>
      <x:c r="O17"/>
      <x:c r="P17"/>
      <x:c r="Q17"/>
      <x:c r="R17" s="13" t="str">
        <x:f>IF(B17="","",IF(OR(C17="Sem movimento",C17="Inativo",C17="Encerrado"),'07_Regras_Complexidade'!$E$11,IF(COUNT(N17:Q17)&lt;4,'07_Regras_Complexidade'!$E$17,IF(SUM(N17:Q17)&lt;='07_Regras_Complexidade'!$D$12,'07_Regras_Complexidade'!$E$12,IF(SUM(N17:Q17)&lt;='07_Regras_Complexidade'!$D$13,'07_Regras_Complexidade'!$E$13,IF(SUM(N17:Q17)&lt;='07_Regras_Complexidade'!$D$14,'07_Regras_Complexidade'!$E$14,IF(SUM(N17:Q17)&lt;='07_Regras_Complexidade'!$D$15,'07_Regras_Complexidade'!$E$15,'07_Regras_Complexidade'!$E$16)))))))</x:f>
      </x:c>
      <x:c r="S17"/>
    </x:row>
    <x:row r="18">
      <x:c r="A18"/>
      <x:c r="B18"/>
      <x:c r="C18"/>
      <x:c r="D18"/>
      <x:c r="E18"/>
      <x:c r="F18"/>
      <x:c r="G18"/>
      <x:c r="H18"/>
      <x:c r="I18" s="13" t="str">
        <x:f>IF(B18="","",IF(COUNT(F18:H18)&lt;3,"",SUM(F18:H18)))</x:f>
      </x:c>
      <x:c r="J18"/>
      <x:c r="K18"/>
      <x:c r="L18"/>
      <x:c r="M18"/>
      <x:c r="N18" s="13" t="str">
        <x:f>IF(I18="","",IF(I18&lt;='07_Regras_Complexidade'!$C$21,'07_Regras_Complexidade'!$D$21,IF(I18&lt;='07_Regras_Complexidade'!$C$22,'07_Regras_Complexidade'!$D$22,'07_Regras_Complexidade'!$D$23)))</x:f>
      </x:c>
      <x:c r="O18"/>
      <x:c r="P18"/>
      <x:c r="Q18"/>
      <x:c r="R18" s="13" t="str">
        <x:f>IF(B18="","",IF(OR(C18="Sem movimento",C18="Inativo",C18="Encerrado"),'07_Regras_Complexidade'!$E$11,IF(COUNT(N18:Q18)&lt;4,'07_Regras_Complexidade'!$E$17,IF(SUM(N18:Q18)&lt;='07_Regras_Complexidade'!$D$12,'07_Regras_Complexidade'!$E$12,IF(SUM(N18:Q18)&lt;='07_Regras_Complexidade'!$D$13,'07_Regras_Complexidade'!$E$13,IF(SUM(N18:Q18)&lt;='07_Regras_Complexidade'!$D$14,'07_Regras_Complexidade'!$E$14,IF(SUM(N18:Q18)&lt;='07_Regras_Complexidade'!$D$15,'07_Regras_Complexidade'!$E$15,'07_Regras_Complexidade'!$E$16)))))))</x:f>
      </x:c>
      <x:c r="S18"/>
    </x:row>
    <x:row r="19">
      <x:c r="A19"/>
      <x:c r="B19"/>
      <x:c r="C19"/>
      <x:c r="D19"/>
      <x:c r="E19"/>
      <x:c r="F19"/>
      <x:c r="G19"/>
      <x:c r="H19"/>
      <x:c r="I19" s="13" t="str">
        <x:f>IF(B19="","",IF(COUNT(F19:H19)&lt;3,"",SUM(F19:H19)))</x:f>
      </x:c>
      <x:c r="J19"/>
      <x:c r="K19"/>
      <x:c r="L19"/>
      <x:c r="M19"/>
      <x:c r="N19" s="13" t="str">
        <x:f>IF(I19="","",IF(I19&lt;='07_Regras_Complexidade'!$C$21,'07_Regras_Complexidade'!$D$21,IF(I19&lt;='07_Regras_Complexidade'!$C$22,'07_Regras_Complexidade'!$D$22,'07_Regras_Complexidade'!$D$23)))</x:f>
      </x:c>
      <x:c r="O19"/>
      <x:c r="P19"/>
      <x:c r="Q19"/>
      <x:c r="R19" s="13" t="str">
        <x:f>IF(B19="","",IF(OR(C19="Sem movimento",C19="Inativo",C19="Encerrado"),'07_Regras_Complexidade'!$E$11,IF(COUNT(N19:Q19)&lt;4,'07_Regras_Complexidade'!$E$17,IF(SUM(N19:Q19)&lt;='07_Regras_Complexidade'!$D$12,'07_Regras_Complexidade'!$E$12,IF(SUM(N19:Q19)&lt;='07_Regras_Complexidade'!$D$13,'07_Regras_Complexidade'!$E$13,IF(SUM(N19:Q19)&lt;='07_Regras_Complexidade'!$D$14,'07_Regras_Complexidade'!$E$14,IF(SUM(N19:Q19)&lt;='07_Regras_Complexidade'!$D$15,'07_Regras_Complexidade'!$E$15,'07_Regras_Complexidade'!$E$16)))))))</x:f>
      </x:c>
      <x:c r="S19"/>
    </x:row>
    <x:row r="20">
      <x:c r="A20"/>
      <x:c r="B20"/>
      <x:c r="C20"/>
      <x:c r="D20"/>
      <x:c r="E20"/>
      <x:c r="F20"/>
      <x:c r="G20"/>
      <x:c r="H20"/>
      <x:c r="I20" s="13" t="str">
        <x:f>IF(B20="","",IF(COUNT(F20:H20)&lt;3,"",SUM(F20:H20)))</x:f>
      </x:c>
      <x:c r="J20"/>
      <x:c r="K20"/>
      <x:c r="L20"/>
      <x:c r="M20"/>
      <x:c r="N20" s="13" t="str">
        <x:f>IF(I20="","",IF(I20&lt;='07_Regras_Complexidade'!$C$21,'07_Regras_Complexidade'!$D$21,IF(I20&lt;='07_Regras_Complexidade'!$C$22,'07_Regras_Complexidade'!$D$22,'07_Regras_Complexidade'!$D$23)))</x:f>
      </x:c>
      <x:c r="O20"/>
      <x:c r="P20"/>
      <x:c r="Q20"/>
      <x:c r="R20" s="13" t="str">
        <x:f>IF(B20="","",IF(OR(C20="Sem movimento",C20="Inativo",C20="Encerrado"),'07_Regras_Complexidade'!$E$11,IF(COUNT(N20:Q20)&lt;4,'07_Regras_Complexidade'!$E$17,IF(SUM(N20:Q20)&lt;='07_Regras_Complexidade'!$D$12,'07_Regras_Complexidade'!$E$12,IF(SUM(N20:Q20)&lt;='07_Regras_Complexidade'!$D$13,'07_Regras_Complexidade'!$E$13,IF(SUM(N20:Q20)&lt;='07_Regras_Complexidade'!$D$14,'07_Regras_Complexidade'!$E$14,IF(SUM(N20:Q20)&lt;='07_Regras_Complexidade'!$D$15,'07_Regras_Complexidade'!$E$15,'07_Regras_Complexidade'!$E$16)))))))</x:f>
      </x:c>
      <x:c r="S20"/>
    </x:row>
    <x:row r="21">
      <x:c r="A21"/>
      <x:c r="B21"/>
      <x:c r="C21"/>
      <x:c r="D21"/>
      <x:c r="E21"/>
      <x:c r="F21"/>
      <x:c r="G21"/>
      <x:c r="H21"/>
      <x:c r="I21" s="13" t="str">
        <x:f>IF(B21="","",IF(COUNT(F21:H21)&lt;3,"",SUM(F21:H21)))</x:f>
      </x:c>
      <x:c r="J21"/>
      <x:c r="K21"/>
      <x:c r="L21"/>
      <x:c r="M21"/>
      <x:c r="N21" s="13" t="str">
        <x:f>IF(I21="","",IF(I21&lt;='07_Regras_Complexidade'!$C$21,'07_Regras_Complexidade'!$D$21,IF(I21&lt;='07_Regras_Complexidade'!$C$22,'07_Regras_Complexidade'!$D$22,'07_Regras_Complexidade'!$D$23)))</x:f>
      </x:c>
      <x:c r="O21"/>
      <x:c r="P21"/>
      <x:c r="Q21"/>
      <x:c r="R21" s="13" t="str">
        <x:f>IF(B21="","",IF(OR(C21="Sem movimento",C21="Inativo",C21="Encerrado"),'07_Regras_Complexidade'!$E$11,IF(COUNT(N21:Q21)&lt;4,'07_Regras_Complexidade'!$E$17,IF(SUM(N21:Q21)&lt;='07_Regras_Complexidade'!$D$12,'07_Regras_Complexidade'!$E$12,IF(SUM(N21:Q21)&lt;='07_Regras_Complexidade'!$D$13,'07_Regras_Complexidade'!$E$13,IF(SUM(N21:Q21)&lt;='07_Regras_Complexidade'!$D$14,'07_Regras_Complexidade'!$E$14,IF(SUM(N21:Q21)&lt;='07_Regras_Complexidade'!$D$15,'07_Regras_Complexidade'!$E$15,'07_Regras_Complexidade'!$E$16)))))))</x:f>
      </x:c>
      <x:c r="S21"/>
    </x:row>
    <x:row r="22">
      <x:c r="A22"/>
      <x:c r="B22"/>
      <x:c r="C22"/>
      <x:c r="D22"/>
      <x:c r="E22"/>
      <x:c r="F22"/>
      <x:c r="G22"/>
      <x:c r="H22"/>
      <x:c r="I22" s="13" t="str">
        <x:f>IF(B22="","",IF(COUNT(F22:H22)&lt;3,"",SUM(F22:H22)))</x:f>
      </x:c>
      <x:c r="J22"/>
      <x:c r="K22"/>
      <x:c r="L22"/>
      <x:c r="M22"/>
      <x:c r="N22" s="13" t="str">
        <x:f>IF(I22="","",IF(I22&lt;='07_Regras_Complexidade'!$C$21,'07_Regras_Complexidade'!$D$21,IF(I22&lt;='07_Regras_Complexidade'!$C$22,'07_Regras_Complexidade'!$D$22,'07_Regras_Complexidade'!$D$23)))</x:f>
      </x:c>
      <x:c r="O22"/>
      <x:c r="P22"/>
      <x:c r="Q22"/>
      <x:c r="R22" s="13" t="str">
        <x:f>IF(B22="","",IF(OR(C22="Sem movimento",C22="Inativo",C22="Encerrado"),'07_Regras_Complexidade'!$E$11,IF(COUNT(N22:Q22)&lt;4,'07_Regras_Complexidade'!$E$17,IF(SUM(N22:Q22)&lt;='07_Regras_Complexidade'!$D$12,'07_Regras_Complexidade'!$E$12,IF(SUM(N22:Q22)&lt;='07_Regras_Complexidade'!$D$13,'07_Regras_Complexidade'!$E$13,IF(SUM(N22:Q22)&lt;='07_Regras_Complexidade'!$D$14,'07_Regras_Complexidade'!$E$14,IF(SUM(N22:Q22)&lt;='07_Regras_Complexidade'!$D$15,'07_Regras_Complexidade'!$E$15,'07_Regras_Complexidade'!$E$16)))))))</x:f>
      </x:c>
      <x:c r="S22"/>
    </x:row>
    <x:row r="23">
      <x:c r="A23"/>
      <x:c r="B23"/>
      <x:c r="C23"/>
      <x:c r="D23"/>
      <x:c r="E23"/>
      <x:c r="F23"/>
      <x:c r="G23"/>
      <x:c r="H23"/>
      <x:c r="I23" s="13" t="str">
        <x:f>IF(B23="","",IF(COUNT(F23:H23)&lt;3,"",SUM(F23:H23)))</x:f>
      </x:c>
      <x:c r="J23"/>
      <x:c r="K23"/>
      <x:c r="L23"/>
      <x:c r="M23"/>
      <x:c r="N23" s="13" t="str">
        <x:f>IF(I23="","",IF(I23&lt;='07_Regras_Complexidade'!$C$21,'07_Regras_Complexidade'!$D$21,IF(I23&lt;='07_Regras_Complexidade'!$C$22,'07_Regras_Complexidade'!$D$22,'07_Regras_Complexidade'!$D$23)))</x:f>
      </x:c>
      <x:c r="O23"/>
      <x:c r="P23"/>
      <x:c r="Q23"/>
      <x:c r="R23" s="13" t="str">
        <x:f>IF(B23="","",IF(OR(C23="Sem movimento",C23="Inativo",C23="Encerrado"),'07_Regras_Complexidade'!$E$11,IF(COUNT(N23:Q23)&lt;4,'07_Regras_Complexidade'!$E$17,IF(SUM(N23:Q23)&lt;='07_Regras_Complexidade'!$D$12,'07_Regras_Complexidade'!$E$12,IF(SUM(N23:Q23)&lt;='07_Regras_Complexidade'!$D$13,'07_Regras_Complexidade'!$E$13,IF(SUM(N23:Q23)&lt;='07_Regras_Complexidade'!$D$14,'07_Regras_Complexidade'!$E$14,IF(SUM(N23:Q23)&lt;='07_Regras_Complexidade'!$D$15,'07_Regras_Complexidade'!$E$15,'07_Regras_Complexidade'!$E$16)))))))</x:f>
      </x:c>
      <x:c r="S23"/>
    </x:row>
    <x:row r="24">
      <x:c r="A24"/>
      <x:c r="B24"/>
      <x:c r="C24"/>
      <x:c r="D24"/>
      <x:c r="E24"/>
      <x:c r="F24"/>
      <x:c r="G24"/>
      <x:c r="H24"/>
      <x:c r="I24" s="13" t="str">
        <x:f>IF(B24="","",IF(COUNT(F24:H24)&lt;3,"",SUM(F24:H24)))</x:f>
      </x:c>
      <x:c r="J24"/>
      <x:c r="K24"/>
      <x:c r="L24"/>
      <x:c r="M24"/>
      <x:c r="N24" s="13" t="str">
        <x:f>IF(I24="","",IF(I24&lt;='07_Regras_Complexidade'!$C$21,'07_Regras_Complexidade'!$D$21,IF(I24&lt;='07_Regras_Complexidade'!$C$22,'07_Regras_Complexidade'!$D$22,'07_Regras_Complexidade'!$D$23)))</x:f>
      </x:c>
      <x:c r="O24"/>
      <x:c r="P24"/>
      <x:c r="Q24"/>
      <x:c r="R24" s="13" t="str">
        <x:f>IF(B24="","",IF(OR(C24="Sem movimento",C24="Inativo",C24="Encerrado"),'07_Regras_Complexidade'!$E$11,IF(COUNT(N24:Q24)&lt;4,'07_Regras_Complexidade'!$E$17,IF(SUM(N24:Q24)&lt;='07_Regras_Complexidade'!$D$12,'07_Regras_Complexidade'!$E$12,IF(SUM(N24:Q24)&lt;='07_Regras_Complexidade'!$D$13,'07_Regras_Complexidade'!$E$13,IF(SUM(N24:Q24)&lt;='07_Regras_Complexidade'!$D$14,'07_Regras_Complexidade'!$E$14,IF(SUM(N24:Q24)&lt;='07_Regras_Complexidade'!$D$15,'07_Regras_Complexidade'!$E$15,'07_Regras_Complexidade'!$E$16)))))))</x:f>
      </x:c>
      <x:c r="S24"/>
    </x:row>
    <x:row r="25">
      <x:c r="A25"/>
      <x:c r="B25"/>
      <x:c r="C25"/>
      <x:c r="D25"/>
      <x:c r="E25"/>
      <x:c r="F25"/>
      <x:c r="G25"/>
      <x:c r="H25"/>
      <x:c r="I25" s="13" t="str">
        <x:f>IF(B25="","",IF(COUNT(F25:H25)&lt;3,"",SUM(F25:H25)))</x:f>
      </x:c>
      <x:c r="J25"/>
      <x:c r="K25"/>
      <x:c r="L25"/>
      <x:c r="M25"/>
      <x:c r="N25" s="13" t="str">
        <x:f>IF(I25="","",IF(I25&lt;='07_Regras_Complexidade'!$C$21,'07_Regras_Complexidade'!$D$21,IF(I25&lt;='07_Regras_Complexidade'!$C$22,'07_Regras_Complexidade'!$D$22,'07_Regras_Complexidade'!$D$23)))</x:f>
      </x:c>
      <x:c r="O25"/>
      <x:c r="P25"/>
      <x:c r="Q25"/>
      <x:c r="R25" s="13" t="str">
        <x:f>IF(B25="","",IF(OR(C25="Sem movimento",C25="Inativo",C25="Encerrado"),'07_Regras_Complexidade'!$E$11,IF(COUNT(N25:Q25)&lt;4,'07_Regras_Complexidade'!$E$17,IF(SUM(N25:Q25)&lt;='07_Regras_Complexidade'!$D$12,'07_Regras_Complexidade'!$E$12,IF(SUM(N25:Q25)&lt;='07_Regras_Complexidade'!$D$13,'07_Regras_Complexidade'!$E$13,IF(SUM(N25:Q25)&lt;='07_Regras_Complexidade'!$D$14,'07_Regras_Complexidade'!$E$14,IF(SUM(N25:Q25)&lt;='07_Regras_Complexidade'!$D$15,'07_Regras_Complexidade'!$E$15,'07_Regras_Complexidade'!$E$16)))))))</x:f>
      </x:c>
      <x:c r="S25"/>
    </x:row>
    <x:row r="26">
      <x:c r="A26"/>
      <x:c r="B26"/>
      <x:c r="C26"/>
      <x:c r="D26"/>
      <x:c r="E26"/>
      <x:c r="F26"/>
      <x:c r="G26"/>
      <x:c r="H26"/>
      <x:c r="I26" s="13" t="str">
        <x:f>IF(B26="","",IF(COUNT(F26:H26)&lt;3,"",SUM(F26:H26)))</x:f>
      </x:c>
      <x:c r="J26"/>
      <x:c r="K26"/>
      <x:c r="L26"/>
      <x:c r="M26"/>
      <x:c r="N26" s="13" t="str">
        <x:f>IF(I26="","",IF(I26&lt;='07_Regras_Complexidade'!$C$21,'07_Regras_Complexidade'!$D$21,IF(I26&lt;='07_Regras_Complexidade'!$C$22,'07_Regras_Complexidade'!$D$22,'07_Regras_Complexidade'!$D$23)))</x:f>
      </x:c>
      <x:c r="O26"/>
      <x:c r="P26"/>
      <x:c r="Q26"/>
      <x:c r="R26" s="13" t="str">
        <x:f>IF(B26="","",IF(OR(C26="Sem movimento",C26="Inativo",C26="Encerrado"),'07_Regras_Complexidade'!$E$11,IF(COUNT(N26:Q26)&lt;4,'07_Regras_Complexidade'!$E$17,IF(SUM(N26:Q26)&lt;='07_Regras_Complexidade'!$D$12,'07_Regras_Complexidade'!$E$12,IF(SUM(N26:Q26)&lt;='07_Regras_Complexidade'!$D$13,'07_Regras_Complexidade'!$E$13,IF(SUM(N26:Q26)&lt;='07_Regras_Complexidade'!$D$14,'07_Regras_Complexidade'!$E$14,IF(SUM(N26:Q26)&lt;='07_Regras_Complexidade'!$D$15,'07_Regras_Complexidade'!$E$15,'07_Regras_Complexidade'!$E$16)))))))</x:f>
      </x:c>
      <x:c r="S26"/>
    </x:row>
    <x:row r="27">
      <x:c r="A27"/>
      <x:c r="B27"/>
      <x:c r="C27"/>
      <x:c r="D27"/>
      <x:c r="E27"/>
      <x:c r="F27"/>
      <x:c r="G27"/>
      <x:c r="H27"/>
      <x:c r="I27" s="13" t="str">
        <x:f>IF(B27="","",IF(COUNT(F27:H27)&lt;3,"",SUM(F27:H27)))</x:f>
      </x:c>
      <x:c r="J27"/>
      <x:c r="K27"/>
      <x:c r="L27"/>
      <x:c r="M27"/>
      <x:c r="N27" s="13" t="str">
        <x:f>IF(I27="","",IF(I27&lt;='07_Regras_Complexidade'!$C$21,'07_Regras_Complexidade'!$D$21,IF(I27&lt;='07_Regras_Complexidade'!$C$22,'07_Regras_Complexidade'!$D$22,'07_Regras_Complexidade'!$D$23)))</x:f>
      </x:c>
      <x:c r="O27"/>
      <x:c r="P27"/>
      <x:c r="Q27"/>
      <x:c r="R27" s="13" t="str">
        <x:f>IF(B27="","",IF(OR(C27="Sem movimento",C27="Inativo",C27="Encerrado"),'07_Regras_Complexidade'!$E$11,IF(COUNT(N27:Q27)&lt;4,'07_Regras_Complexidade'!$E$17,IF(SUM(N27:Q27)&lt;='07_Regras_Complexidade'!$D$12,'07_Regras_Complexidade'!$E$12,IF(SUM(N27:Q27)&lt;='07_Regras_Complexidade'!$D$13,'07_Regras_Complexidade'!$E$13,IF(SUM(N27:Q27)&lt;='07_Regras_Complexidade'!$D$14,'07_Regras_Complexidade'!$E$14,IF(SUM(N27:Q27)&lt;='07_Regras_Complexidade'!$D$15,'07_Regras_Complexidade'!$E$15,'07_Regras_Complexidade'!$E$16)))))))</x:f>
      </x:c>
      <x:c r="S27"/>
    </x:row>
    <x:row r="28">
      <x:c r="A28"/>
      <x:c r="B28"/>
      <x:c r="C28"/>
      <x:c r="D28"/>
      <x:c r="E28"/>
      <x:c r="F28"/>
      <x:c r="G28"/>
      <x:c r="H28"/>
      <x:c r="I28" s="13" t="str">
        <x:f>IF(B28="","",IF(COUNT(F28:H28)&lt;3,"",SUM(F28:H28)))</x:f>
      </x:c>
      <x:c r="J28"/>
      <x:c r="K28"/>
      <x:c r="L28"/>
      <x:c r="M28"/>
      <x:c r="N28" s="13" t="str">
        <x:f>IF(I28="","",IF(I28&lt;='07_Regras_Complexidade'!$C$21,'07_Regras_Complexidade'!$D$21,IF(I28&lt;='07_Regras_Complexidade'!$C$22,'07_Regras_Complexidade'!$D$22,'07_Regras_Complexidade'!$D$23)))</x:f>
      </x:c>
      <x:c r="O28"/>
      <x:c r="P28"/>
      <x:c r="Q28"/>
      <x:c r="R28" s="13" t="str">
        <x:f>IF(B28="","",IF(OR(C28="Sem movimento",C28="Inativo",C28="Encerrado"),'07_Regras_Complexidade'!$E$11,IF(COUNT(N28:Q28)&lt;4,'07_Regras_Complexidade'!$E$17,IF(SUM(N28:Q28)&lt;='07_Regras_Complexidade'!$D$12,'07_Regras_Complexidade'!$E$12,IF(SUM(N28:Q28)&lt;='07_Regras_Complexidade'!$D$13,'07_Regras_Complexidade'!$E$13,IF(SUM(N28:Q28)&lt;='07_Regras_Complexidade'!$D$14,'07_Regras_Complexidade'!$E$14,IF(SUM(N28:Q28)&lt;='07_Regras_Complexidade'!$D$15,'07_Regras_Complexidade'!$E$15,'07_Regras_Complexidade'!$E$16)))))))</x:f>
      </x:c>
      <x:c r="S28"/>
    </x:row>
    <x:row r="29">
      <x:c r="A29"/>
      <x:c r="B29"/>
      <x:c r="C29"/>
      <x:c r="D29"/>
      <x:c r="E29"/>
      <x:c r="F29"/>
      <x:c r="G29"/>
      <x:c r="H29"/>
      <x:c r="I29" s="13" t="str">
        <x:f>IF(B29="","",IF(COUNT(F29:H29)&lt;3,"",SUM(F29:H29)))</x:f>
      </x:c>
      <x:c r="J29"/>
      <x:c r="K29"/>
      <x:c r="L29"/>
      <x:c r="M29"/>
      <x:c r="N29" s="13" t="str">
        <x:f>IF(I29="","",IF(I29&lt;='07_Regras_Complexidade'!$C$21,'07_Regras_Complexidade'!$D$21,IF(I29&lt;='07_Regras_Complexidade'!$C$22,'07_Regras_Complexidade'!$D$22,'07_Regras_Complexidade'!$D$23)))</x:f>
      </x:c>
      <x:c r="O29"/>
      <x:c r="P29"/>
      <x:c r="Q29"/>
      <x:c r="R29" s="13" t="str">
        <x:f>IF(B29="","",IF(OR(C29="Sem movimento",C29="Inativo",C29="Encerrado"),'07_Regras_Complexidade'!$E$11,IF(COUNT(N29:Q29)&lt;4,'07_Regras_Complexidade'!$E$17,IF(SUM(N29:Q29)&lt;='07_Regras_Complexidade'!$D$12,'07_Regras_Complexidade'!$E$12,IF(SUM(N29:Q29)&lt;='07_Regras_Complexidade'!$D$13,'07_Regras_Complexidade'!$E$13,IF(SUM(N29:Q29)&lt;='07_Regras_Complexidade'!$D$14,'07_Regras_Complexidade'!$E$14,IF(SUM(N29:Q29)&lt;='07_Regras_Complexidade'!$D$15,'07_Regras_Complexidade'!$E$15,'07_Regras_Complexidade'!$E$16)))))))</x:f>
      </x:c>
      <x:c r="S29"/>
    </x:row>
    <x:row r="30">
      <x:c r="A30"/>
      <x:c r="B30"/>
      <x:c r="C30"/>
      <x:c r="D30"/>
      <x:c r="E30"/>
      <x:c r="F30"/>
      <x:c r="G30"/>
      <x:c r="H30"/>
      <x:c r="I30" s="13" t="str">
        <x:f>IF(B30="","",IF(COUNT(F30:H30)&lt;3,"",SUM(F30:H30)))</x:f>
      </x:c>
      <x:c r="J30"/>
      <x:c r="K30"/>
      <x:c r="L30"/>
      <x:c r="M30"/>
      <x:c r="N30" s="13" t="str">
        <x:f>IF(I30="","",IF(I30&lt;='07_Regras_Complexidade'!$C$21,'07_Regras_Complexidade'!$D$21,IF(I30&lt;='07_Regras_Complexidade'!$C$22,'07_Regras_Complexidade'!$D$22,'07_Regras_Complexidade'!$D$23)))</x:f>
      </x:c>
      <x:c r="O30"/>
      <x:c r="P30"/>
      <x:c r="Q30"/>
      <x:c r="R30" s="13" t="str">
        <x:f>IF(B30="","",IF(OR(C30="Sem movimento",C30="Inativo",C30="Encerrado"),'07_Regras_Complexidade'!$E$11,IF(COUNT(N30:Q30)&lt;4,'07_Regras_Complexidade'!$E$17,IF(SUM(N30:Q30)&lt;='07_Regras_Complexidade'!$D$12,'07_Regras_Complexidade'!$E$12,IF(SUM(N30:Q30)&lt;='07_Regras_Complexidade'!$D$13,'07_Regras_Complexidade'!$E$13,IF(SUM(N30:Q30)&lt;='07_Regras_Complexidade'!$D$14,'07_Regras_Complexidade'!$E$14,IF(SUM(N30:Q30)&lt;='07_Regras_Complexidade'!$D$15,'07_Regras_Complexidade'!$E$15,'07_Regras_Complexidade'!$E$16)))))))</x:f>
      </x:c>
      <x:c r="S30"/>
    </x:row>
    <x:row r="31">
      <x:c r="A31"/>
      <x:c r="B31"/>
      <x:c r="C31"/>
      <x:c r="D31"/>
      <x:c r="E31"/>
      <x:c r="F31"/>
      <x:c r="G31"/>
      <x:c r="H31"/>
      <x:c r="I31" s="13" t="str">
        <x:f>IF(B31="","",IF(COUNT(F31:H31)&lt;3,"",SUM(F31:H31)))</x:f>
      </x:c>
      <x:c r="J31"/>
      <x:c r="K31"/>
      <x:c r="L31"/>
      <x:c r="M31"/>
      <x:c r="N31" s="13" t="str">
        <x:f>IF(I31="","",IF(I31&lt;='07_Regras_Complexidade'!$C$21,'07_Regras_Complexidade'!$D$21,IF(I31&lt;='07_Regras_Complexidade'!$C$22,'07_Regras_Complexidade'!$D$22,'07_Regras_Complexidade'!$D$23)))</x:f>
      </x:c>
      <x:c r="O31"/>
      <x:c r="P31"/>
      <x:c r="Q31"/>
      <x:c r="R31" s="13" t="str">
        <x:f>IF(B31="","",IF(OR(C31="Sem movimento",C31="Inativo",C31="Encerrado"),'07_Regras_Complexidade'!$E$11,IF(COUNT(N31:Q31)&lt;4,'07_Regras_Complexidade'!$E$17,IF(SUM(N31:Q31)&lt;='07_Regras_Complexidade'!$D$12,'07_Regras_Complexidade'!$E$12,IF(SUM(N31:Q31)&lt;='07_Regras_Complexidade'!$D$13,'07_Regras_Complexidade'!$E$13,IF(SUM(N31:Q31)&lt;='07_Regras_Complexidade'!$D$14,'07_Regras_Complexidade'!$E$14,IF(SUM(N31:Q31)&lt;='07_Regras_Complexidade'!$D$15,'07_Regras_Complexidade'!$E$15,'07_Regras_Complexidade'!$E$16)))))))</x:f>
      </x:c>
      <x:c r="S31"/>
    </x:row>
    <x:row r="32">
      <x:c r="A32"/>
      <x:c r="B32"/>
      <x:c r="C32"/>
      <x:c r="D32"/>
      <x:c r="E32"/>
      <x:c r="F32"/>
      <x:c r="G32"/>
      <x:c r="H32"/>
      <x:c r="I32" s="13" t="str">
        <x:f>IF(B32="","",IF(COUNT(F32:H32)&lt;3,"",SUM(F32:H32)))</x:f>
      </x:c>
      <x:c r="J32"/>
      <x:c r="K32"/>
      <x:c r="L32"/>
      <x:c r="M32"/>
      <x:c r="N32" s="13" t="str">
        <x:f>IF(I32="","",IF(I32&lt;='07_Regras_Complexidade'!$C$21,'07_Regras_Complexidade'!$D$21,IF(I32&lt;='07_Regras_Complexidade'!$C$22,'07_Regras_Complexidade'!$D$22,'07_Regras_Complexidade'!$D$23)))</x:f>
      </x:c>
      <x:c r="O32"/>
      <x:c r="P32"/>
      <x:c r="Q32"/>
      <x:c r="R32" s="13" t="str">
        <x:f>IF(B32="","",IF(OR(C32="Sem movimento",C32="Inativo",C32="Encerrado"),'07_Regras_Complexidade'!$E$11,IF(COUNT(N32:Q32)&lt;4,'07_Regras_Complexidade'!$E$17,IF(SUM(N32:Q32)&lt;='07_Regras_Complexidade'!$D$12,'07_Regras_Complexidade'!$E$12,IF(SUM(N32:Q32)&lt;='07_Regras_Complexidade'!$D$13,'07_Regras_Complexidade'!$E$13,IF(SUM(N32:Q32)&lt;='07_Regras_Complexidade'!$D$14,'07_Regras_Complexidade'!$E$14,IF(SUM(N32:Q32)&lt;='07_Regras_Complexidade'!$D$15,'07_Regras_Complexidade'!$E$15,'07_Regras_Complexidade'!$E$16)))))))</x:f>
      </x:c>
      <x:c r="S32"/>
    </x:row>
    <x:row r="33">
      <x:c r="A33"/>
      <x:c r="B33"/>
      <x:c r="C33"/>
      <x:c r="D33"/>
      <x:c r="E33"/>
      <x:c r="F33"/>
      <x:c r="G33"/>
      <x:c r="H33"/>
      <x:c r="I33" s="13" t="str">
        <x:f>IF(B33="","",IF(COUNT(F33:H33)&lt;3,"",SUM(F33:H33)))</x:f>
      </x:c>
      <x:c r="J33"/>
      <x:c r="K33"/>
      <x:c r="L33"/>
      <x:c r="M33"/>
      <x:c r="N33" s="13" t="str">
        <x:f>IF(I33="","",IF(I33&lt;='07_Regras_Complexidade'!$C$21,'07_Regras_Complexidade'!$D$21,IF(I33&lt;='07_Regras_Complexidade'!$C$22,'07_Regras_Complexidade'!$D$22,'07_Regras_Complexidade'!$D$23)))</x:f>
      </x:c>
      <x:c r="O33"/>
      <x:c r="P33"/>
      <x:c r="Q33"/>
      <x:c r="R33" s="13" t="str">
        <x:f>IF(B33="","",IF(OR(C33="Sem movimento",C33="Inativo",C33="Encerrado"),'07_Regras_Complexidade'!$E$11,IF(COUNT(N33:Q33)&lt;4,'07_Regras_Complexidade'!$E$17,IF(SUM(N33:Q33)&lt;='07_Regras_Complexidade'!$D$12,'07_Regras_Complexidade'!$E$12,IF(SUM(N33:Q33)&lt;='07_Regras_Complexidade'!$D$13,'07_Regras_Complexidade'!$E$13,IF(SUM(N33:Q33)&lt;='07_Regras_Complexidade'!$D$14,'07_Regras_Complexidade'!$E$14,IF(SUM(N33:Q33)&lt;='07_Regras_Complexidade'!$D$15,'07_Regras_Complexidade'!$E$15,'07_Regras_Complexidade'!$E$16)))))))</x:f>
      </x:c>
      <x:c r="S33"/>
    </x:row>
    <x:row r="34">
      <x:c r="A34"/>
      <x:c r="B34"/>
      <x:c r="C34"/>
      <x:c r="D34"/>
      <x:c r="E34"/>
      <x:c r="F34"/>
      <x:c r="G34"/>
      <x:c r="H34"/>
      <x:c r="I34" s="13" t="str">
        <x:f>IF(B34="","",IF(COUNT(F34:H34)&lt;3,"",SUM(F34:H34)))</x:f>
      </x:c>
      <x:c r="J34"/>
      <x:c r="K34"/>
      <x:c r="L34"/>
      <x:c r="M34"/>
      <x:c r="N34" s="13" t="str">
        <x:f>IF(I34="","",IF(I34&lt;='07_Regras_Complexidade'!$C$21,'07_Regras_Complexidade'!$D$21,IF(I34&lt;='07_Regras_Complexidade'!$C$22,'07_Regras_Complexidade'!$D$22,'07_Regras_Complexidade'!$D$23)))</x:f>
      </x:c>
      <x:c r="O34"/>
      <x:c r="P34"/>
      <x:c r="Q34"/>
      <x:c r="R34" s="13" t="str">
        <x:f>IF(B34="","",IF(OR(C34="Sem movimento",C34="Inativo",C34="Encerrado"),'07_Regras_Complexidade'!$E$11,IF(COUNT(N34:Q34)&lt;4,'07_Regras_Complexidade'!$E$17,IF(SUM(N34:Q34)&lt;='07_Regras_Complexidade'!$D$12,'07_Regras_Complexidade'!$E$12,IF(SUM(N34:Q34)&lt;='07_Regras_Complexidade'!$D$13,'07_Regras_Complexidade'!$E$13,IF(SUM(N34:Q34)&lt;='07_Regras_Complexidade'!$D$14,'07_Regras_Complexidade'!$E$14,IF(SUM(N34:Q34)&lt;='07_Regras_Complexidade'!$D$15,'07_Regras_Complexidade'!$E$15,'07_Regras_Complexidade'!$E$16)))))))</x:f>
      </x:c>
      <x:c r="S34"/>
    </x:row>
    <x:row r="35">
      <x:c r="A35"/>
      <x:c r="B35"/>
      <x:c r="C35"/>
      <x:c r="D35"/>
      <x:c r="E35"/>
      <x:c r="F35"/>
      <x:c r="G35"/>
      <x:c r="H35"/>
      <x:c r="I35" s="13" t="str">
        <x:f>IF(B35="","",IF(COUNT(F35:H35)&lt;3,"",SUM(F35:H35)))</x:f>
      </x:c>
      <x:c r="J35"/>
      <x:c r="K35"/>
      <x:c r="L35"/>
      <x:c r="M35"/>
      <x:c r="N35" s="13" t="str">
        <x:f>IF(I35="","",IF(I35&lt;='07_Regras_Complexidade'!$C$21,'07_Regras_Complexidade'!$D$21,IF(I35&lt;='07_Regras_Complexidade'!$C$22,'07_Regras_Complexidade'!$D$22,'07_Regras_Complexidade'!$D$23)))</x:f>
      </x:c>
      <x:c r="O35"/>
      <x:c r="P35"/>
      <x:c r="Q35"/>
      <x:c r="R35" s="13" t="str">
        <x:f>IF(B35="","",IF(OR(C35="Sem movimento",C35="Inativo",C35="Encerrado"),'07_Regras_Complexidade'!$E$11,IF(COUNT(N35:Q35)&lt;4,'07_Regras_Complexidade'!$E$17,IF(SUM(N35:Q35)&lt;='07_Regras_Complexidade'!$D$12,'07_Regras_Complexidade'!$E$12,IF(SUM(N35:Q35)&lt;='07_Regras_Complexidade'!$D$13,'07_Regras_Complexidade'!$E$13,IF(SUM(N35:Q35)&lt;='07_Regras_Complexidade'!$D$14,'07_Regras_Complexidade'!$E$14,IF(SUM(N35:Q35)&lt;='07_Regras_Complexidade'!$D$15,'07_Regras_Complexidade'!$E$15,'07_Regras_Complexidade'!$E$16)))))))</x:f>
      </x:c>
      <x:c r="S35"/>
    </x:row>
    <x:row r="36">
      <x:c r="A36"/>
      <x:c r="B36"/>
      <x:c r="C36"/>
      <x:c r="D36"/>
      <x:c r="E36"/>
      <x:c r="F36"/>
      <x:c r="G36"/>
      <x:c r="H36"/>
      <x:c r="I36" s="13" t="str">
        <x:f>IF(B36="","",IF(COUNT(F36:H36)&lt;3,"",SUM(F36:H36)))</x:f>
      </x:c>
      <x:c r="J36"/>
      <x:c r="K36"/>
      <x:c r="L36"/>
      <x:c r="M36"/>
      <x:c r="N36" s="13" t="str">
        <x:f>IF(I36="","",IF(I36&lt;='07_Regras_Complexidade'!$C$21,'07_Regras_Complexidade'!$D$21,IF(I36&lt;='07_Regras_Complexidade'!$C$22,'07_Regras_Complexidade'!$D$22,'07_Regras_Complexidade'!$D$23)))</x:f>
      </x:c>
      <x:c r="O36"/>
      <x:c r="P36"/>
      <x:c r="Q36"/>
      <x:c r="R36" s="13" t="str">
        <x:f>IF(B36="","",IF(OR(C36="Sem movimento",C36="Inativo",C36="Encerrado"),'07_Regras_Complexidade'!$E$11,IF(COUNT(N36:Q36)&lt;4,'07_Regras_Complexidade'!$E$17,IF(SUM(N36:Q36)&lt;='07_Regras_Complexidade'!$D$12,'07_Regras_Complexidade'!$E$12,IF(SUM(N36:Q36)&lt;='07_Regras_Complexidade'!$D$13,'07_Regras_Complexidade'!$E$13,IF(SUM(N36:Q36)&lt;='07_Regras_Complexidade'!$D$14,'07_Regras_Complexidade'!$E$14,IF(SUM(N36:Q36)&lt;='07_Regras_Complexidade'!$D$15,'07_Regras_Complexidade'!$E$15,'07_Regras_Complexidade'!$E$16)))))))</x:f>
      </x:c>
      <x:c r="S36"/>
    </x:row>
    <x:row r="37">
      <x:c r="A37"/>
      <x:c r="B37"/>
      <x:c r="C37"/>
      <x:c r="D37"/>
      <x:c r="E37"/>
      <x:c r="F37"/>
      <x:c r="G37"/>
      <x:c r="H37"/>
      <x:c r="I37" s="13" t="str">
        <x:f>IF(B37="","",IF(COUNT(F37:H37)&lt;3,"",SUM(F37:H37)))</x:f>
      </x:c>
      <x:c r="J37"/>
      <x:c r="K37"/>
      <x:c r="L37"/>
      <x:c r="M37"/>
      <x:c r="N37" s="13" t="str">
        <x:f>IF(I37="","",IF(I37&lt;='07_Regras_Complexidade'!$C$21,'07_Regras_Complexidade'!$D$21,IF(I37&lt;='07_Regras_Complexidade'!$C$22,'07_Regras_Complexidade'!$D$22,'07_Regras_Complexidade'!$D$23)))</x:f>
      </x:c>
      <x:c r="O37"/>
      <x:c r="P37"/>
      <x:c r="Q37"/>
      <x:c r="R37" s="13" t="str">
        <x:f>IF(B37="","",IF(OR(C37="Sem movimento",C37="Inativo",C37="Encerrado"),'07_Regras_Complexidade'!$E$11,IF(COUNT(N37:Q37)&lt;4,'07_Regras_Complexidade'!$E$17,IF(SUM(N37:Q37)&lt;='07_Regras_Complexidade'!$D$12,'07_Regras_Complexidade'!$E$12,IF(SUM(N37:Q37)&lt;='07_Regras_Complexidade'!$D$13,'07_Regras_Complexidade'!$E$13,IF(SUM(N37:Q37)&lt;='07_Regras_Complexidade'!$D$14,'07_Regras_Complexidade'!$E$14,IF(SUM(N37:Q37)&lt;='07_Regras_Complexidade'!$D$15,'07_Regras_Complexidade'!$E$15,'07_Regras_Complexidade'!$E$16)))))))</x:f>
      </x:c>
      <x:c r="S37"/>
    </x:row>
    <x:row r="38">
      <x:c r="A38"/>
      <x:c r="B38"/>
      <x:c r="C38"/>
      <x:c r="D38"/>
      <x:c r="E38"/>
      <x:c r="F38"/>
      <x:c r="G38"/>
      <x:c r="H38"/>
      <x:c r="I38" s="13" t="str">
        <x:f>IF(B38="","",IF(COUNT(F38:H38)&lt;3,"",SUM(F38:H38)))</x:f>
      </x:c>
      <x:c r="J38"/>
      <x:c r="K38"/>
      <x:c r="L38"/>
      <x:c r="M38"/>
      <x:c r="N38" s="13" t="str">
        <x:f>IF(I38="","",IF(I38&lt;='07_Regras_Complexidade'!$C$21,'07_Regras_Complexidade'!$D$21,IF(I38&lt;='07_Regras_Complexidade'!$C$22,'07_Regras_Complexidade'!$D$22,'07_Regras_Complexidade'!$D$23)))</x:f>
      </x:c>
      <x:c r="O38"/>
      <x:c r="P38"/>
      <x:c r="Q38"/>
      <x:c r="R38" s="13" t="str">
        <x:f>IF(B38="","",IF(OR(C38="Sem movimento",C38="Inativo",C38="Encerrado"),'07_Regras_Complexidade'!$E$11,IF(COUNT(N38:Q38)&lt;4,'07_Regras_Complexidade'!$E$17,IF(SUM(N38:Q38)&lt;='07_Regras_Complexidade'!$D$12,'07_Regras_Complexidade'!$E$12,IF(SUM(N38:Q38)&lt;='07_Regras_Complexidade'!$D$13,'07_Regras_Complexidade'!$E$13,IF(SUM(N38:Q38)&lt;='07_Regras_Complexidade'!$D$14,'07_Regras_Complexidade'!$E$14,IF(SUM(N38:Q38)&lt;='07_Regras_Complexidade'!$D$15,'07_Regras_Complexidade'!$E$15,'07_Regras_Complexidade'!$E$16)))))))</x:f>
      </x:c>
      <x:c r="S38"/>
    </x:row>
    <x:row r="39">
      <x:c r="A39"/>
      <x:c r="B39"/>
      <x:c r="C39"/>
      <x:c r="D39"/>
      <x:c r="E39"/>
      <x:c r="F39"/>
      <x:c r="G39"/>
      <x:c r="H39"/>
      <x:c r="I39" s="13" t="str">
        <x:f>IF(B39="","",IF(COUNT(F39:H39)&lt;3,"",SUM(F39:H39)))</x:f>
      </x:c>
      <x:c r="J39"/>
      <x:c r="K39"/>
      <x:c r="L39"/>
      <x:c r="M39"/>
      <x:c r="N39" s="13" t="str">
        <x:f>IF(I39="","",IF(I39&lt;='07_Regras_Complexidade'!$C$21,'07_Regras_Complexidade'!$D$21,IF(I39&lt;='07_Regras_Complexidade'!$C$22,'07_Regras_Complexidade'!$D$22,'07_Regras_Complexidade'!$D$23)))</x:f>
      </x:c>
      <x:c r="O39"/>
      <x:c r="P39"/>
      <x:c r="Q39"/>
      <x:c r="R39" s="13" t="str">
        <x:f>IF(B39="","",IF(OR(C39="Sem movimento",C39="Inativo",C39="Encerrado"),'07_Regras_Complexidade'!$E$11,IF(COUNT(N39:Q39)&lt;4,'07_Regras_Complexidade'!$E$17,IF(SUM(N39:Q39)&lt;='07_Regras_Complexidade'!$D$12,'07_Regras_Complexidade'!$E$12,IF(SUM(N39:Q39)&lt;='07_Regras_Complexidade'!$D$13,'07_Regras_Complexidade'!$E$13,IF(SUM(N39:Q39)&lt;='07_Regras_Complexidade'!$D$14,'07_Regras_Complexidade'!$E$14,IF(SUM(N39:Q39)&lt;='07_Regras_Complexidade'!$D$15,'07_Regras_Complexidade'!$E$15,'07_Regras_Complexidade'!$E$16)))))))</x:f>
      </x:c>
      <x:c r="S39"/>
    </x:row>
    <x:row r="40">
      <x:c r="A40"/>
      <x:c r="B40"/>
      <x:c r="C40"/>
      <x:c r="D40"/>
      <x:c r="E40"/>
      <x:c r="F40"/>
      <x:c r="G40"/>
      <x:c r="H40"/>
      <x:c r="I40" s="13" t="str">
        <x:f>IF(B40="","",IF(COUNT(F40:H40)&lt;3,"",SUM(F40:H40)))</x:f>
      </x:c>
      <x:c r="J40"/>
      <x:c r="K40"/>
      <x:c r="L40"/>
      <x:c r="M40"/>
      <x:c r="N40" s="13" t="str">
        <x:f>IF(I40="","",IF(I40&lt;='07_Regras_Complexidade'!$C$21,'07_Regras_Complexidade'!$D$21,IF(I40&lt;='07_Regras_Complexidade'!$C$22,'07_Regras_Complexidade'!$D$22,'07_Regras_Complexidade'!$D$23)))</x:f>
      </x:c>
      <x:c r="O40"/>
      <x:c r="P40"/>
      <x:c r="Q40"/>
      <x:c r="R40" s="13" t="str">
        <x:f>IF(B40="","",IF(OR(C40="Sem movimento",C40="Inativo",C40="Encerrado"),'07_Regras_Complexidade'!$E$11,IF(COUNT(N40:Q40)&lt;4,'07_Regras_Complexidade'!$E$17,IF(SUM(N40:Q40)&lt;='07_Regras_Complexidade'!$D$12,'07_Regras_Complexidade'!$E$12,IF(SUM(N40:Q40)&lt;='07_Regras_Complexidade'!$D$13,'07_Regras_Complexidade'!$E$13,IF(SUM(N40:Q40)&lt;='07_Regras_Complexidade'!$D$14,'07_Regras_Complexidade'!$E$14,IF(SUM(N40:Q40)&lt;='07_Regras_Complexidade'!$D$15,'07_Regras_Complexidade'!$E$15,'07_Regras_Complexidade'!$E$16)))))))</x:f>
      </x:c>
      <x:c r="S40"/>
    </x:row>
    <x:row r="41">
      <x:c r="A41"/>
      <x:c r="B41"/>
      <x:c r="C41"/>
      <x:c r="D41"/>
      <x:c r="E41"/>
      <x:c r="F41"/>
      <x:c r="G41"/>
      <x:c r="H41"/>
      <x:c r="I41" s="13" t="str">
        <x:f>IF(B41="","",IF(COUNT(F41:H41)&lt;3,"",SUM(F41:H41)))</x:f>
      </x:c>
      <x:c r="J41"/>
      <x:c r="K41"/>
      <x:c r="L41"/>
      <x:c r="M41"/>
      <x:c r="N41" s="13" t="str">
        <x:f>IF(I41="","",IF(I41&lt;='07_Regras_Complexidade'!$C$21,'07_Regras_Complexidade'!$D$21,IF(I41&lt;='07_Regras_Complexidade'!$C$22,'07_Regras_Complexidade'!$D$22,'07_Regras_Complexidade'!$D$23)))</x:f>
      </x:c>
      <x:c r="O41"/>
      <x:c r="P41"/>
      <x:c r="Q41"/>
      <x:c r="R41" s="13" t="str">
        <x:f>IF(B41="","",IF(OR(C41="Sem movimento",C41="Inativo",C41="Encerrado"),'07_Regras_Complexidade'!$E$11,IF(COUNT(N41:Q41)&lt;4,'07_Regras_Complexidade'!$E$17,IF(SUM(N41:Q41)&lt;='07_Regras_Complexidade'!$D$12,'07_Regras_Complexidade'!$E$12,IF(SUM(N41:Q41)&lt;='07_Regras_Complexidade'!$D$13,'07_Regras_Complexidade'!$E$13,IF(SUM(N41:Q41)&lt;='07_Regras_Complexidade'!$D$14,'07_Regras_Complexidade'!$E$14,IF(SUM(N41:Q41)&lt;='07_Regras_Complexidade'!$D$15,'07_Regras_Complexidade'!$E$15,'07_Regras_Complexidade'!$E$16)))))))</x:f>
      </x:c>
      <x:c r="S41"/>
    </x:row>
    <x:row r="42">
      <x:c r="A42"/>
      <x:c r="B42"/>
      <x:c r="C42"/>
      <x:c r="D42"/>
      <x:c r="E42"/>
      <x:c r="F42"/>
      <x:c r="G42"/>
      <x:c r="H42"/>
      <x:c r="I42" s="13" t="str">
        <x:f>IF(B42="","",IF(COUNT(F42:H42)&lt;3,"",SUM(F42:H42)))</x:f>
      </x:c>
      <x:c r="J42"/>
      <x:c r="K42"/>
      <x:c r="L42"/>
      <x:c r="M42"/>
      <x:c r="N42" s="13" t="str">
        <x:f>IF(I42="","",IF(I42&lt;='07_Regras_Complexidade'!$C$21,'07_Regras_Complexidade'!$D$21,IF(I42&lt;='07_Regras_Complexidade'!$C$22,'07_Regras_Complexidade'!$D$22,'07_Regras_Complexidade'!$D$23)))</x:f>
      </x:c>
      <x:c r="O42"/>
      <x:c r="P42"/>
      <x:c r="Q42"/>
      <x:c r="R42" s="13" t="str">
        <x:f>IF(B42="","",IF(OR(C42="Sem movimento",C42="Inativo",C42="Encerrado"),'07_Regras_Complexidade'!$E$11,IF(COUNT(N42:Q42)&lt;4,'07_Regras_Complexidade'!$E$17,IF(SUM(N42:Q42)&lt;='07_Regras_Complexidade'!$D$12,'07_Regras_Complexidade'!$E$12,IF(SUM(N42:Q42)&lt;='07_Regras_Complexidade'!$D$13,'07_Regras_Complexidade'!$E$13,IF(SUM(N42:Q42)&lt;='07_Regras_Complexidade'!$D$14,'07_Regras_Complexidade'!$E$14,IF(SUM(N42:Q42)&lt;='07_Regras_Complexidade'!$D$15,'07_Regras_Complexidade'!$E$15,'07_Regras_Complexidade'!$E$16)))))))</x:f>
      </x:c>
      <x:c r="S42"/>
    </x:row>
    <x:row r="43">
      <x:c r="A43"/>
      <x:c r="B43"/>
      <x:c r="C43"/>
      <x:c r="D43"/>
      <x:c r="E43"/>
      <x:c r="F43"/>
      <x:c r="G43"/>
      <x:c r="H43"/>
      <x:c r="I43" s="13" t="str">
        <x:f>IF(B43="","",IF(COUNT(F43:H43)&lt;3,"",SUM(F43:H43)))</x:f>
      </x:c>
      <x:c r="J43"/>
      <x:c r="K43"/>
      <x:c r="L43"/>
      <x:c r="M43"/>
      <x:c r="N43" s="13" t="str">
        <x:f>IF(I43="","",IF(I43&lt;='07_Regras_Complexidade'!$C$21,'07_Regras_Complexidade'!$D$21,IF(I43&lt;='07_Regras_Complexidade'!$C$22,'07_Regras_Complexidade'!$D$22,'07_Regras_Complexidade'!$D$23)))</x:f>
      </x:c>
      <x:c r="O43"/>
      <x:c r="P43"/>
      <x:c r="Q43"/>
      <x:c r="R43" s="13" t="str">
        <x:f>IF(B43="","",IF(OR(C43="Sem movimento",C43="Inativo",C43="Encerrado"),'07_Regras_Complexidade'!$E$11,IF(COUNT(N43:Q43)&lt;4,'07_Regras_Complexidade'!$E$17,IF(SUM(N43:Q43)&lt;='07_Regras_Complexidade'!$D$12,'07_Regras_Complexidade'!$E$12,IF(SUM(N43:Q43)&lt;='07_Regras_Complexidade'!$D$13,'07_Regras_Complexidade'!$E$13,IF(SUM(N43:Q43)&lt;='07_Regras_Complexidade'!$D$14,'07_Regras_Complexidade'!$E$14,IF(SUM(N43:Q43)&lt;='07_Regras_Complexidade'!$D$15,'07_Regras_Complexidade'!$E$15,'07_Regras_Complexidade'!$E$16)))))))</x:f>
      </x:c>
      <x:c r="S43"/>
    </x:row>
    <x:row r="44">
      <x:c r="A44"/>
      <x:c r="B44"/>
      <x:c r="C44"/>
      <x:c r="D44"/>
      <x:c r="E44"/>
      <x:c r="F44"/>
      <x:c r="G44"/>
      <x:c r="H44"/>
      <x:c r="I44" s="13" t="str">
        <x:f>IF(B44="","",IF(COUNT(F44:H44)&lt;3,"",SUM(F44:H44)))</x:f>
      </x:c>
      <x:c r="J44"/>
      <x:c r="K44"/>
      <x:c r="L44"/>
      <x:c r="M44"/>
      <x:c r="N44" s="13" t="str">
        <x:f>IF(I44="","",IF(I44&lt;='07_Regras_Complexidade'!$C$21,'07_Regras_Complexidade'!$D$21,IF(I44&lt;='07_Regras_Complexidade'!$C$22,'07_Regras_Complexidade'!$D$22,'07_Regras_Complexidade'!$D$23)))</x:f>
      </x:c>
      <x:c r="O44"/>
      <x:c r="P44"/>
      <x:c r="Q44"/>
      <x:c r="R44" s="13" t="str">
        <x:f>IF(B44="","",IF(OR(C44="Sem movimento",C44="Inativo",C44="Encerrado"),'07_Regras_Complexidade'!$E$11,IF(COUNT(N44:Q44)&lt;4,'07_Regras_Complexidade'!$E$17,IF(SUM(N44:Q44)&lt;='07_Regras_Complexidade'!$D$12,'07_Regras_Complexidade'!$E$12,IF(SUM(N44:Q44)&lt;='07_Regras_Complexidade'!$D$13,'07_Regras_Complexidade'!$E$13,IF(SUM(N44:Q44)&lt;='07_Regras_Complexidade'!$D$14,'07_Regras_Complexidade'!$E$14,IF(SUM(N44:Q44)&lt;='07_Regras_Complexidade'!$D$15,'07_Regras_Complexidade'!$E$15,'07_Regras_Complexidade'!$E$16)))))))</x:f>
      </x:c>
      <x:c r="S44"/>
    </x:row>
    <x:row r="45">
      <x:c r="A45"/>
      <x:c r="B45"/>
      <x:c r="C45"/>
      <x:c r="D45"/>
      <x:c r="E45"/>
      <x:c r="F45"/>
      <x:c r="G45"/>
      <x:c r="H45"/>
      <x:c r="I45" s="13" t="str">
        <x:f>IF(B45="","",IF(COUNT(F45:H45)&lt;3,"",SUM(F45:H45)))</x:f>
      </x:c>
      <x:c r="J45"/>
      <x:c r="K45"/>
      <x:c r="L45"/>
      <x:c r="M45"/>
      <x:c r="N45" s="13" t="str">
        <x:f>IF(I45="","",IF(I45&lt;='07_Regras_Complexidade'!$C$21,'07_Regras_Complexidade'!$D$21,IF(I45&lt;='07_Regras_Complexidade'!$C$22,'07_Regras_Complexidade'!$D$22,'07_Regras_Complexidade'!$D$23)))</x:f>
      </x:c>
      <x:c r="O45"/>
      <x:c r="P45"/>
      <x:c r="Q45"/>
      <x:c r="R45" s="13" t="str">
        <x:f>IF(B45="","",IF(OR(C45="Sem movimento",C45="Inativo",C45="Encerrado"),'07_Regras_Complexidade'!$E$11,IF(COUNT(N45:Q45)&lt;4,'07_Regras_Complexidade'!$E$17,IF(SUM(N45:Q45)&lt;='07_Regras_Complexidade'!$D$12,'07_Regras_Complexidade'!$E$12,IF(SUM(N45:Q45)&lt;='07_Regras_Complexidade'!$D$13,'07_Regras_Complexidade'!$E$13,IF(SUM(N45:Q45)&lt;='07_Regras_Complexidade'!$D$14,'07_Regras_Complexidade'!$E$14,IF(SUM(N45:Q45)&lt;='07_Regras_Complexidade'!$D$15,'07_Regras_Complexidade'!$E$15,'07_Regras_Complexidade'!$E$16)))))))</x:f>
      </x:c>
      <x:c r="S45"/>
    </x:row>
    <x:row r="46">
      <x:c r="A46"/>
      <x:c r="B46"/>
      <x:c r="C46"/>
      <x:c r="D46"/>
      <x:c r="E46"/>
      <x:c r="F46"/>
      <x:c r="G46"/>
      <x:c r="H46"/>
      <x:c r="I46" s="13" t="str">
        <x:f>IF(B46="","",IF(COUNT(F46:H46)&lt;3,"",SUM(F46:H46)))</x:f>
      </x:c>
      <x:c r="J46"/>
      <x:c r="K46"/>
      <x:c r="L46"/>
      <x:c r="M46"/>
      <x:c r="N46" s="13" t="str">
        <x:f>IF(I46="","",IF(I46&lt;='07_Regras_Complexidade'!$C$21,'07_Regras_Complexidade'!$D$21,IF(I46&lt;='07_Regras_Complexidade'!$C$22,'07_Regras_Complexidade'!$D$22,'07_Regras_Complexidade'!$D$23)))</x:f>
      </x:c>
      <x:c r="O46"/>
      <x:c r="P46"/>
      <x:c r="Q46"/>
      <x:c r="R46" s="13" t="str">
        <x:f>IF(B46="","",IF(OR(C46="Sem movimento",C46="Inativo",C46="Encerrado"),'07_Regras_Complexidade'!$E$11,IF(COUNT(N46:Q46)&lt;4,'07_Regras_Complexidade'!$E$17,IF(SUM(N46:Q46)&lt;='07_Regras_Complexidade'!$D$12,'07_Regras_Complexidade'!$E$12,IF(SUM(N46:Q46)&lt;='07_Regras_Complexidade'!$D$13,'07_Regras_Complexidade'!$E$13,IF(SUM(N46:Q46)&lt;='07_Regras_Complexidade'!$D$14,'07_Regras_Complexidade'!$E$14,IF(SUM(N46:Q46)&lt;='07_Regras_Complexidade'!$D$15,'07_Regras_Complexidade'!$E$15,'07_Regras_Complexidade'!$E$16)))))))</x:f>
      </x:c>
      <x:c r="S46"/>
    </x:row>
    <x:row r="47">
      <x:c r="A47"/>
      <x:c r="B47"/>
      <x:c r="C47"/>
      <x:c r="D47"/>
      <x:c r="E47"/>
      <x:c r="F47"/>
      <x:c r="G47"/>
      <x:c r="H47"/>
      <x:c r="I47" s="13" t="str">
        <x:f>IF(B47="","",IF(COUNT(F47:H47)&lt;3,"",SUM(F47:H47)))</x:f>
      </x:c>
      <x:c r="J47"/>
      <x:c r="K47"/>
      <x:c r="L47"/>
      <x:c r="M47"/>
      <x:c r="N47" s="13" t="str">
        <x:f>IF(I47="","",IF(I47&lt;='07_Regras_Complexidade'!$C$21,'07_Regras_Complexidade'!$D$21,IF(I47&lt;='07_Regras_Complexidade'!$C$22,'07_Regras_Complexidade'!$D$22,'07_Regras_Complexidade'!$D$23)))</x:f>
      </x:c>
      <x:c r="O47"/>
      <x:c r="P47"/>
      <x:c r="Q47"/>
      <x:c r="R47" s="13" t="str">
        <x:f>IF(B47="","",IF(OR(C47="Sem movimento",C47="Inativo",C47="Encerrado"),'07_Regras_Complexidade'!$E$11,IF(COUNT(N47:Q47)&lt;4,'07_Regras_Complexidade'!$E$17,IF(SUM(N47:Q47)&lt;='07_Regras_Complexidade'!$D$12,'07_Regras_Complexidade'!$E$12,IF(SUM(N47:Q47)&lt;='07_Regras_Complexidade'!$D$13,'07_Regras_Complexidade'!$E$13,IF(SUM(N47:Q47)&lt;='07_Regras_Complexidade'!$D$14,'07_Regras_Complexidade'!$E$14,IF(SUM(N47:Q47)&lt;='07_Regras_Complexidade'!$D$15,'07_Regras_Complexidade'!$E$15,'07_Regras_Complexidade'!$E$16)))))))</x:f>
      </x:c>
      <x:c r="S47"/>
    </x:row>
    <x:row r="48">
      <x:c r="A48"/>
      <x:c r="B48"/>
      <x:c r="C48"/>
      <x:c r="D48"/>
      <x:c r="E48"/>
      <x:c r="F48"/>
      <x:c r="G48"/>
      <x:c r="H48"/>
      <x:c r="I48" s="13" t="str">
        <x:f>IF(B48="","",IF(COUNT(F48:H48)&lt;3,"",SUM(F48:H48)))</x:f>
      </x:c>
      <x:c r="J48"/>
      <x:c r="K48"/>
      <x:c r="L48"/>
      <x:c r="M48"/>
      <x:c r="N48" s="13" t="str">
        <x:f>IF(I48="","",IF(I48&lt;='07_Regras_Complexidade'!$C$21,'07_Regras_Complexidade'!$D$21,IF(I48&lt;='07_Regras_Complexidade'!$C$22,'07_Regras_Complexidade'!$D$22,'07_Regras_Complexidade'!$D$23)))</x:f>
      </x:c>
      <x:c r="O48"/>
      <x:c r="P48"/>
      <x:c r="Q48"/>
      <x:c r="R48" s="13" t="str">
        <x:f>IF(B48="","",IF(OR(C48="Sem movimento",C48="Inativo",C48="Encerrado"),'07_Regras_Complexidade'!$E$11,IF(COUNT(N48:Q48)&lt;4,'07_Regras_Complexidade'!$E$17,IF(SUM(N48:Q48)&lt;='07_Regras_Complexidade'!$D$12,'07_Regras_Complexidade'!$E$12,IF(SUM(N48:Q48)&lt;='07_Regras_Complexidade'!$D$13,'07_Regras_Complexidade'!$E$13,IF(SUM(N48:Q48)&lt;='07_Regras_Complexidade'!$D$14,'07_Regras_Complexidade'!$E$14,IF(SUM(N48:Q48)&lt;='07_Regras_Complexidade'!$D$15,'07_Regras_Complexidade'!$E$15,'07_Regras_Complexidade'!$E$16)))))))</x:f>
      </x:c>
      <x:c r="S48"/>
    </x:row>
    <x:row r="49">
      <x:c r="A49"/>
      <x:c r="B49"/>
      <x:c r="C49"/>
      <x:c r="D49"/>
      <x:c r="E49"/>
      <x:c r="F49"/>
      <x:c r="G49"/>
      <x:c r="H49"/>
      <x:c r="I49" s="13" t="str">
        <x:f>IF(B49="","",IF(COUNT(F49:H49)&lt;3,"",SUM(F49:H49)))</x:f>
      </x:c>
      <x:c r="J49"/>
      <x:c r="K49"/>
      <x:c r="L49"/>
      <x:c r="M49"/>
      <x:c r="N49" s="13" t="str">
        <x:f>IF(I49="","",IF(I49&lt;='07_Regras_Complexidade'!$C$21,'07_Regras_Complexidade'!$D$21,IF(I49&lt;='07_Regras_Complexidade'!$C$22,'07_Regras_Complexidade'!$D$22,'07_Regras_Complexidade'!$D$23)))</x:f>
      </x:c>
      <x:c r="O49"/>
      <x:c r="P49"/>
      <x:c r="Q49"/>
      <x:c r="R49" s="13" t="str">
        <x:f>IF(B49="","",IF(OR(C49="Sem movimento",C49="Inativo",C49="Encerrado"),'07_Regras_Complexidade'!$E$11,IF(COUNT(N49:Q49)&lt;4,'07_Regras_Complexidade'!$E$17,IF(SUM(N49:Q49)&lt;='07_Regras_Complexidade'!$D$12,'07_Regras_Complexidade'!$E$12,IF(SUM(N49:Q49)&lt;='07_Regras_Complexidade'!$D$13,'07_Regras_Complexidade'!$E$13,IF(SUM(N49:Q49)&lt;='07_Regras_Complexidade'!$D$14,'07_Regras_Complexidade'!$E$14,IF(SUM(N49:Q49)&lt;='07_Regras_Complexidade'!$D$15,'07_Regras_Complexidade'!$E$15,'07_Regras_Complexidade'!$E$16)))))))</x:f>
      </x:c>
      <x:c r="S49"/>
    </x:row>
    <x:row r="50">
      <x:c r="A50"/>
      <x:c r="B50"/>
      <x:c r="C50"/>
      <x:c r="D50"/>
      <x:c r="E50"/>
      <x:c r="F50"/>
      <x:c r="G50"/>
      <x:c r="H50"/>
      <x:c r="I50" s="13" t="str">
        <x:f>IF(B50="","",IF(COUNT(F50:H50)&lt;3,"",SUM(F50:H50)))</x:f>
      </x:c>
      <x:c r="J50"/>
      <x:c r="K50"/>
      <x:c r="L50"/>
      <x:c r="M50"/>
      <x:c r="N50" s="13" t="str">
        <x:f>IF(I50="","",IF(I50&lt;='07_Regras_Complexidade'!$C$21,'07_Regras_Complexidade'!$D$21,IF(I50&lt;='07_Regras_Complexidade'!$C$22,'07_Regras_Complexidade'!$D$22,'07_Regras_Complexidade'!$D$23)))</x:f>
      </x:c>
      <x:c r="O50"/>
      <x:c r="P50"/>
      <x:c r="Q50"/>
      <x:c r="R50" s="13" t="str">
        <x:f>IF(B50="","",IF(OR(C50="Sem movimento",C50="Inativo",C50="Encerrado"),'07_Regras_Complexidade'!$E$11,IF(COUNT(N50:Q50)&lt;4,'07_Regras_Complexidade'!$E$17,IF(SUM(N50:Q50)&lt;='07_Regras_Complexidade'!$D$12,'07_Regras_Complexidade'!$E$12,IF(SUM(N50:Q50)&lt;='07_Regras_Complexidade'!$D$13,'07_Regras_Complexidade'!$E$13,IF(SUM(N50:Q50)&lt;='07_Regras_Complexidade'!$D$14,'07_Regras_Complexidade'!$E$14,IF(SUM(N50:Q50)&lt;='07_Regras_Complexidade'!$D$15,'07_Regras_Complexidade'!$E$15,'07_Regras_Complexidade'!$E$16)))))))</x:f>
      </x:c>
      <x:c r="S50"/>
    </x:row>
    <x:row r="51">
      <x:c r="A51"/>
      <x:c r="B51"/>
      <x:c r="C51"/>
      <x:c r="D51"/>
      <x:c r="E51"/>
      <x:c r="F51"/>
      <x:c r="G51"/>
      <x:c r="H51"/>
      <x:c r="I51" s="13" t="str">
        <x:f>IF(B51="","",IF(COUNT(F51:H51)&lt;3,"",SUM(F51:H51)))</x:f>
      </x:c>
      <x:c r="J51"/>
      <x:c r="K51"/>
      <x:c r="L51"/>
      <x:c r="M51"/>
      <x:c r="N51" s="13" t="str">
        <x:f>IF(I51="","",IF(I51&lt;='07_Regras_Complexidade'!$C$21,'07_Regras_Complexidade'!$D$21,IF(I51&lt;='07_Regras_Complexidade'!$C$22,'07_Regras_Complexidade'!$D$22,'07_Regras_Complexidade'!$D$23)))</x:f>
      </x:c>
      <x:c r="O51"/>
      <x:c r="P51"/>
      <x:c r="Q51"/>
      <x:c r="R51" s="13" t="str">
        <x:f>IF(B51="","",IF(OR(C51="Sem movimento",C51="Inativo",C51="Encerrado"),'07_Regras_Complexidade'!$E$11,IF(COUNT(N51:Q51)&lt;4,'07_Regras_Complexidade'!$E$17,IF(SUM(N51:Q51)&lt;='07_Regras_Complexidade'!$D$12,'07_Regras_Complexidade'!$E$12,IF(SUM(N51:Q51)&lt;='07_Regras_Complexidade'!$D$13,'07_Regras_Complexidade'!$E$13,IF(SUM(N51:Q51)&lt;='07_Regras_Complexidade'!$D$14,'07_Regras_Complexidade'!$E$14,IF(SUM(N51:Q51)&lt;='07_Regras_Complexidade'!$D$15,'07_Regras_Complexidade'!$E$15,'07_Regras_Complexidade'!$E$16)))))))</x:f>
      </x:c>
      <x:c r="S51"/>
    </x:row>
    <x:row r="52">
      <x:c r="A52"/>
      <x:c r="B52"/>
      <x:c r="C52"/>
      <x:c r="D52"/>
      <x:c r="E52"/>
      <x:c r="F52"/>
      <x:c r="G52"/>
      <x:c r="H52"/>
      <x:c r="I52" s="13" t="str">
        <x:f>IF(B52="","",IF(COUNT(F52:H52)&lt;3,"",SUM(F52:H52)))</x:f>
      </x:c>
      <x:c r="J52"/>
      <x:c r="K52"/>
      <x:c r="L52"/>
      <x:c r="M52"/>
      <x:c r="N52" s="13" t="str">
        <x:f>IF(I52="","",IF(I52&lt;='07_Regras_Complexidade'!$C$21,'07_Regras_Complexidade'!$D$21,IF(I52&lt;='07_Regras_Complexidade'!$C$22,'07_Regras_Complexidade'!$D$22,'07_Regras_Complexidade'!$D$23)))</x:f>
      </x:c>
      <x:c r="O52"/>
      <x:c r="P52"/>
      <x:c r="Q52"/>
      <x:c r="R52" s="13" t="str">
        <x:f>IF(B52="","",IF(OR(C52="Sem movimento",C52="Inativo",C52="Encerrado"),'07_Regras_Complexidade'!$E$11,IF(COUNT(N52:Q52)&lt;4,'07_Regras_Complexidade'!$E$17,IF(SUM(N52:Q52)&lt;='07_Regras_Complexidade'!$D$12,'07_Regras_Complexidade'!$E$12,IF(SUM(N52:Q52)&lt;='07_Regras_Complexidade'!$D$13,'07_Regras_Complexidade'!$E$13,IF(SUM(N52:Q52)&lt;='07_Regras_Complexidade'!$D$14,'07_Regras_Complexidade'!$E$14,IF(SUM(N52:Q52)&lt;='07_Regras_Complexidade'!$D$15,'07_Regras_Complexidade'!$E$15,'07_Regras_Complexidade'!$E$16)))))))</x:f>
      </x:c>
      <x:c r="S52"/>
    </x:row>
    <x:row r="53">
      <x:c r="A53"/>
      <x:c r="B53"/>
      <x:c r="C53"/>
      <x:c r="D53"/>
      <x:c r="E53"/>
      <x:c r="F53"/>
      <x:c r="G53"/>
      <x:c r="H53"/>
      <x:c r="I53" s="13" t="str">
        <x:f>IF(B53="","",IF(COUNT(F53:H53)&lt;3,"",SUM(F53:H53)))</x:f>
      </x:c>
      <x:c r="J53"/>
      <x:c r="K53"/>
      <x:c r="L53"/>
      <x:c r="M53"/>
      <x:c r="N53" s="13" t="str">
        <x:f>IF(I53="","",IF(I53&lt;='07_Regras_Complexidade'!$C$21,'07_Regras_Complexidade'!$D$21,IF(I53&lt;='07_Regras_Complexidade'!$C$22,'07_Regras_Complexidade'!$D$22,'07_Regras_Complexidade'!$D$23)))</x:f>
      </x:c>
      <x:c r="O53"/>
      <x:c r="P53"/>
      <x:c r="Q53"/>
      <x:c r="R53" s="13" t="str">
        <x:f>IF(B53="","",IF(OR(C53="Sem movimento",C53="Inativo",C53="Encerrado"),'07_Regras_Complexidade'!$E$11,IF(COUNT(N53:Q53)&lt;4,'07_Regras_Complexidade'!$E$17,IF(SUM(N53:Q53)&lt;='07_Regras_Complexidade'!$D$12,'07_Regras_Complexidade'!$E$12,IF(SUM(N53:Q53)&lt;='07_Regras_Complexidade'!$D$13,'07_Regras_Complexidade'!$E$13,IF(SUM(N53:Q53)&lt;='07_Regras_Complexidade'!$D$14,'07_Regras_Complexidade'!$E$14,IF(SUM(N53:Q53)&lt;='07_Regras_Complexidade'!$D$15,'07_Regras_Complexidade'!$E$15,'07_Regras_Complexidade'!$E$16)))))))</x:f>
      </x:c>
      <x:c r="S53"/>
    </x:row>
    <x:row r="54">
      <x:c r="A54"/>
      <x:c r="B54"/>
      <x:c r="C54"/>
      <x:c r="D54"/>
      <x:c r="E54"/>
      <x:c r="F54"/>
      <x:c r="G54"/>
      <x:c r="H54"/>
      <x:c r="I54" s="13" t="str">
        <x:f>IF(B54="","",IF(COUNT(F54:H54)&lt;3,"",SUM(F54:H54)))</x:f>
      </x:c>
      <x:c r="J54"/>
      <x:c r="K54"/>
      <x:c r="L54"/>
      <x:c r="M54"/>
      <x:c r="N54" s="13" t="str">
        <x:f>IF(I54="","",IF(I54&lt;='07_Regras_Complexidade'!$C$21,'07_Regras_Complexidade'!$D$21,IF(I54&lt;='07_Regras_Complexidade'!$C$22,'07_Regras_Complexidade'!$D$22,'07_Regras_Complexidade'!$D$23)))</x:f>
      </x:c>
      <x:c r="O54"/>
      <x:c r="P54"/>
      <x:c r="Q54"/>
      <x:c r="R54" s="13" t="str">
        <x:f>IF(B54="","",IF(OR(C54="Sem movimento",C54="Inativo",C54="Encerrado"),'07_Regras_Complexidade'!$E$11,IF(COUNT(N54:Q54)&lt;4,'07_Regras_Complexidade'!$E$17,IF(SUM(N54:Q54)&lt;='07_Regras_Complexidade'!$D$12,'07_Regras_Complexidade'!$E$12,IF(SUM(N54:Q54)&lt;='07_Regras_Complexidade'!$D$13,'07_Regras_Complexidade'!$E$13,IF(SUM(N54:Q54)&lt;='07_Regras_Complexidade'!$D$14,'07_Regras_Complexidade'!$E$14,IF(SUM(N54:Q54)&lt;='07_Regras_Complexidade'!$D$15,'07_Regras_Complexidade'!$E$15,'07_Regras_Complexidade'!$E$16)))))))</x:f>
      </x:c>
      <x:c r="S54"/>
    </x:row>
    <x:row r="55">
      <x:c r="A55"/>
      <x:c r="B55"/>
      <x:c r="C55"/>
      <x:c r="D55"/>
      <x:c r="E55"/>
      <x:c r="F55"/>
      <x:c r="G55"/>
      <x:c r="H55"/>
      <x:c r="I55" s="13" t="str">
        <x:f>IF(B55="","",IF(COUNT(F55:H55)&lt;3,"",SUM(F55:H55)))</x:f>
      </x:c>
      <x:c r="J55"/>
      <x:c r="K55"/>
      <x:c r="L55"/>
      <x:c r="M55"/>
      <x:c r="N55" s="13" t="str">
        <x:f>IF(I55="","",IF(I55&lt;='07_Regras_Complexidade'!$C$21,'07_Regras_Complexidade'!$D$21,IF(I55&lt;='07_Regras_Complexidade'!$C$22,'07_Regras_Complexidade'!$D$22,'07_Regras_Complexidade'!$D$23)))</x:f>
      </x:c>
      <x:c r="O55"/>
      <x:c r="P55"/>
      <x:c r="Q55"/>
      <x:c r="R55" s="13" t="str">
        <x:f>IF(B55="","",IF(OR(C55="Sem movimento",C55="Inativo",C55="Encerrado"),'07_Regras_Complexidade'!$E$11,IF(COUNT(N55:Q55)&lt;4,'07_Regras_Complexidade'!$E$17,IF(SUM(N55:Q55)&lt;='07_Regras_Complexidade'!$D$12,'07_Regras_Complexidade'!$E$12,IF(SUM(N55:Q55)&lt;='07_Regras_Complexidade'!$D$13,'07_Regras_Complexidade'!$E$13,IF(SUM(N55:Q55)&lt;='07_Regras_Complexidade'!$D$14,'07_Regras_Complexidade'!$E$14,IF(SUM(N55:Q55)&lt;='07_Regras_Complexidade'!$D$15,'07_Regras_Complexidade'!$E$15,'07_Regras_Complexidade'!$E$16)))))))</x:f>
      </x:c>
      <x:c r="S55"/>
    </x:row>
    <x:row r="56">
      <x:c r="A56"/>
      <x:c r="B56"/>
      <x:c r="C56"/>
      <x:c r="D56"/>
      <x:c r="E56"/>
      <x:c r="F56"/>
      <x:c r="G56"/>
      <x:c r="H56"/>
      <x:c r="I56" s="13" t="str">
        <x:f>IF(B56="","",IF(COUNT(F56:H56)&lt;3,"",SUM(F56:H56)))</x:f>
      </x:c>
      <x:c r="J56"/>
      <x:c r="K56"/>
      <x:c r="L56"/>
      <x:c r="M56"/>
      <x:c r="N56" s="13" t="str">
        <x:f>IF(I56="","",IF(I56&lt;='07_Regras_Complexidade'!$C$21,'07_Regras_Complexidade'!$D$21,IF(I56&lt;='07_Regras_Complexidade'!$C$22,'07_Regras_Complexidade'!$D$22,'07_Regras_Complexidade'!$D$23)))</x:f>
      </x:c>
      <x:c r="O56"/>
      <x:c r="P56"/>
      <x:c r="Q56"/>
      <x:c r="R56" s="13" t="str">
        <x:f>IF(B56="","",IF(OR(C56="Sem movimento",C56="Inativo",C56="Encerrado"),'07_Regras_Complexidade'!$E$11,IF(COUNT(N56:Q56)&lt;4,'07_Regras_Complexidade'!$E$17,IF(SUM(N56:Q56)&lt;='07_Regras_Complexidade'!$D$12,'07_Regras_Complexidade'!$E$12,IF(SUM(N56:Q56)&lt;='07_Regras_Complexidade'!$D$13,'07_Regras_Complexidade'!$E$13,IF(SUM(N56:Q56)&lt;='07_Regras_Complexidade'!$D$14,'07_Regras_Complexidade'!$E$14,IF(SUM(N56:Q56)&lt;='07_Regras_Complexidade'!$D$15,'07_Regras_Complexidade'!$E$15,'07_Regras_Complexidade'!$E$16)))))))</x:f>
      </x:c>
      <x:c r="S56"/>
    </x:row>
    <x:row r="57">
      <x:c r="A57"/>
      <x:c r="B57"/>
      <x:c r="C57"/>
      <x:c r="D57"/>
      <x:c r="E57"/>
      <x:c r="F57"/>
      <x:c r="G57"/>
      <x:c r="H57"/>
      <x:c r="I57" s="13" t="str">
        <x:f>IF(B57="","",IF(COUNT(F57:H57)&lt;3,"",SUM(F57:H57)))</x:f>
      </x:c>
      <x:c r="J57"/>
      <x:c r="K57"/>
      <x:c r="L57"/>
      <x:c r="M57"/>
      <x:c r="N57" s="13" t="str">
        <x:f>IF(I57="","",IF(I57&lt;='07_Regras_Complexidade'!$C$21,'07_Regras_Complexidade'!$D$21,IF(I57&lt;='07_Regras_Complexidade'!$C$22,'07_Regras_Complexidade'!$D$22,'07_Regras_Complexidade'!$D$23)))</x:f>
      </x:c>
      <x:c r="O57"/>
      <x:c r="P57"/>
      <x:c r="Q57"/>
      <x:c r="R57" s="13" t="str">
        <x:f>IF(B57="","",IF(OR(C57="Sem movimento",C57="Inativo",C57="Encerrado"),'07_Regras_Complexidade'!$E$11,IF(COUNT(N57:Q57)&lt;4,'07_Regras_Complexidade'!$E$17,IF(SUM(N57:Q57)&lt;='07_Regras_Complexidade'!$D$12,'07_Regras_Complexidade'!$E$12,IF(SUM(N57:Q57)&lt;='07_Regras_Complexidade'!$D$13,'07_Regras_Complexidade'!$E$13,IF(SUM(N57:Q57)&lt;='07_Regras_Complexidade'!$D$14,'07_Regras_Complexidade'!$E$14,IF(SUM(N57:Q57)&lt;='07_Regras_Complexidade'!$D$15,'07_Regras_Complexidade'!$E$15,'07_Regras_Complexidade'!$E$16)))))))</x:f>
      </x:c>
      <x:c r="S57"/>
    </x:row>
    <x:row r="58">
      <x:c r="A58"/>
      <x:c r="B58"/>
      <x:c r="C58"/>
      <x:c r="D58"/>
      <x:c r="E58"/>
      <x:c r="F58"/>
      <x:c r="G58"/>
      <x:c r="H58"/>
      <x:c r="I58" s="13" t="str">
        <x:f>IF(B58="","",IF(COUNT(F58:H58)&lt;3,"",SUM(F58:H58)))</x:f>
      </x:c>
      <x:c r="J58"/>
      <x:c r="K58"/>
      <x:c r="L58"/>
      <x:c r="M58"/>
      <x:c r="N58" s="13" t="str">
        <x:f>IF(I58="","",IF(I58&lt;='07_Regras_Complexidade'!$C$21,'07_Regras_Complexidade'!$D$21,IF(I58&lt;='07_Regras_Complexidade'!$C$22,'07_Regras_Complexidade'!$D$22,'07_Regras_Complexidade'!$D$23)))</x:f>
      </x:c>
      <x:c r="O58"/>
      <x:c r="P58"/>
      <x:c r="Q58"/>
      <x:c r="R58" s="13" t="str">
        <x:f>IF(B58="","",IF(OR(C58="Sem movimento",C58="Inativo",C58="Encerrado"),'07_Regras_Complexidade'!$E$11,IF(COUNT(N58:Q58)&lt;4,'07_Regras_Complexidade'!$E$17,IF(SUM(N58:Q58)&lt;='07_Regras_Complexidade'!$D$12,'07_Regras_Complexidade'!$E$12,IF(SUM(N58:Q58)&lt;='07_Regras_Complexidade'!$D$13,'07_Regras_Complexidade'!$E$13,IF(SUM(N58:Q58)&lt;='07_Regras_Complexidade'!$D$14,'07_Regras_Complexidade'!$E$14,IF(SUM(N58:Q58)&lt;='07_Regras_Complexidade'!$D$15,'07_Regras_Complexidade'!$E$15,'07_Regras_Complexidade'!$E$16)))))))</x:f>
      </x:c>
      <x:c r="S58"/>
    </x:row>
    <x:row r="59">
      <x:c r="A59"/>
      <x:c r="B59"/>
      <x:c r="C59"/>
      <x:c r="D59"/>
      <x:c r="E59"/>
      <x:c r="F59"/>
      <x:c r="G59"/>
      <x:c r="H59"/>
      <x:c r="I59" s="13" t="str">
        <x:f>IF(B59="","",IF(COUNT(F59:H59)&lt;3,"",SUM(F59:H59)))</x:f>
      </x:c>
      <x:c r="J59"/>
      <x:c r="K59"/>
      <x:c r="L59"/>
      <x:c r="M59"/>
      <x:c r="N59" s="13" t="str">
        <x:f>IF(I59="","",IF(I59&lt;='07_Regras_Complexidade'!$C$21,'07_Regras_Complexidade'!$D$21,IF(I59&lt;='07_Regras_Complexidade'!$C$22,'07_Regras_Complexidade'!$D$22,'07_Regras_Complexidade'!$D$23)))</x:f>
      </x:c>
      <x:c r="O59"/>
      <x:c r="P59"/>
      <x:c r="Q59"/>
      <x:c r="R59" s="13" t="str">
        <x:f>IF(B59="","",IF(OR(C59="Sem movimento",C59="Inativo",C59="Encerrado"),'07_Regras_Complexidade'!$E$11,IF(COUNT(N59:Q59)&lt;4,'07_Regras_Complexidade'!$E$17,IF(SUM(N59:Q59)&lt;='07_Regras_Complexidade'!$D$12,'07_Regras_Complexidade'!$E$12,IF(SUM(N59:Q59)&lt;='07_Regras_Complexidade'!$D$13,'07_Regras_Complexidade'!$E$13,IF(SUM(N59:Q59)&lt;='07_Regras_Complexidade'!$D$14,'07_Regras_Complexidade'!$E$14,IF(SUM(N59:Q59)&lt;='07_Regras_Complexidade'!$D$15,'07_Regras_Complexidade'!$E$15,'07_Regras_Complexidade'!$E$16)))))))</x:f>
      </x:c>
      <x:c r="S59"/>
    </x:row>
    <x:row r="60">
      <x:c r="A60"/>
      <x:c r="B60"/>
      <x:c r="C60"/>
      <x:c r="D60"/>
      <x:c r="E60"/>
      <x:c r="F60"/>
      <x:c r="G60"/>
      <x:c r="H60"/>
      <x:c r="I60" s="13" t="str">
        <x:f>IF(B60="","",IF(COUNT(F60:H60)&lt;3,"",SUM(F60:H60)))</x:f>
      </x:c>
      <x:c r="J60"/>
      <x:c r="K60"/>
      <x:c r="L60"/>
      <x:c r="M60"/>
      <x:c r="N60" s="13" t="str">
        <x:f>IF(I60="","",IF(I60&lt;='07_Regras_Complexidade'!$C$21,'07_Regras_Complexidade'!$D$21,IF(I60&lt;='07_Regras_Complexidade'!$C$22,'07_Regras_Complexidade'!$D$22,'07_Regras_Complexidade'!$D$23)))</x:f>
      </x:c>
      <x:c r="O60"/>
      <x:c r="P60"/>
      <x:c r="Q60"/>
      <x:c r="R60" s="13" t="str">
        <x:f>IF(B60="","",IF(OR(C60="Sem movimento",C60="Inativo",C60="Encerrado"),'07_Regras_Complexidade'!$E$11,IF(COUNT(N60:Q60)&lt;4,'07_Regras_Complexidade'!$E$17,IF(SUM(N60:Q60)&lt;='07_Regras_Complexidade'!$D$12,'07_Regras_Complexidade'!$E$12,IF(SUM(N60:Q60)&lt;='07_Regras_Complexidade'!$D$13,'07_Regras_Complexidade'!$E$13,IF(SUM(N60:Q60)&lt;='07_Regras_Complexidade'!$D$14,'07_Regras_Complexidade'!$E$14,IF(SUM(N60:Q60)&lt;='07_Regras_Complexidade'!$D$15,'07_Regras_Complexidade'!$E$15,'07_Regras_Complexidade'!$E$16)))))))</x:f>
      </x:c>
      <x:c r="S60"/>
    </x:row>
    <x:row r="61">
      <x:c r="A61"/>
      <x:c r="B61"/>
      <x:c r="C61"/>
      <x:c r="D61"/>
      <x:c r="E61"/>
      <x:c r="F61"/>
      <x:c r="G61"/>
      <x:c r="H61"/>
      <x:c r="I61" s="13" t="str">
        <x:f>IF(B61="","",IF(COUNT(F61:H61)&lt;3,"",SUM(F61:H61)))</x:f>
      </x:c>
      <x:c r="J61"/>
      <x:c r="K61"/>
      <x:c r="L61"/>
      <x:c r="M61"/>
      <x:c r="N61" s="13" t="str">
        <x:f>IF(I61="","",IF(I61&lt;='07_Regras_Complexidade'!$C$21,'07_Regras_Complexidade'!$D$21,IF(I61&lt;='07_Regras_Complexidade'!$C$22,'07_Regras_Complexidade'!$D$22,'07_Regras_Complexidade'!$D$23)))</x:f>
      </x:c>
      <x:c r="O61"/>
      <x:c r="P61"/>
      <x:c r="Q61"/>
      <x:c r="R61" s="13" t="str">
        <x:f>IF(B61="","",IF(OR(C61="Sem movimento",C61="Inativo",C61="Encerrado"),'07_Regras_Complexidade'!$E$11,IF(COUNT(N61:Q61)&lt;4,'07_Regras_Complexidade'!$E$17,IF(SUM(N61:Q61)&lt;='07_Regras_Complexidade'!$D$12,'07_Regras_Complexidade'!$E$12,IF(SUM(N61:Q61)&lt;='07_Regras_Complexidade'!$D$13,'07_Regras_Complexidade'!$E$13,IF(SUM(N61:Q61)&lt;='07_Regras_Complexidade'!$D$14,'07_Regras_Complexidade'!$E$14,IF(SUM(N61:Q61)&lt;='07_Regras_Complexidade'!$D$15,'07_Regras_Complexidade'!$E$15,'07_Regras_Complexidade'!$E$16)))))))</x:f>
      </x:c>
      <x:c r="S61"/>
    </x:row>
    <x:row r="62">
      <x:c r="A62"/>
      <x:c r="B62"/>
      <x:c r="C62"/>
      <x:c r="D62"/>
      <x:c r="E62"/>
      <x:c r="F62"/>
      <x:c r="G62"/>
      <x:c r="H62"/>
      <x:c r="I62" s="13" t="str">
        <x:f>IF(B62="","",IF(COUNT(F62:H62)&lt;3,"",SUM(F62:H62)))</x:f>
      </x:c>
      <x:c r="J62"/>
      <x:c r="K62"/>
      <x:c r="L62"/>
      <x:c r="M62"/>
      <x:c r="N62" s="13" t="str">
        <x:f>IF(I62="","",IF(I62&lt;='07_Regras_Complexidade'!$C$21,'07_Regras_Complexidade'!$D$21,IF(I62&lt;='07_Regras_Complexidade'!$C$22,'07_Regras_Complexidade'!$D$22,'07_Regras_Complexidade'!$D$23)))</x:f>
      </x:c>
      <x:c r="O62"/>
      <x:c r="P62"/>
      <x:c r="Q62"/>
      <x:c r="R62" s="13" t="str">
        <x:f>IF(B62="","",IF(OR(C62="Sem movimento",C62="Inativo",C62="Encerrado"),'07_Regras_Complexidade'!$E$11,IF(COUNT(N62:Q62)&lt;4,'07_Regras_Complexidade'!$E$17,IF(SUM(N62:Q62)&lt;='07_Regras_Complexidade'!$D$12,'07_Regras_Complexidade'!$E$12,IF(SUM(N62:Q62)&lt;='07_Regras_Complexidade'!$D$13,'07_Regras_Complexidade'!$E$13,IF(SUM(N62:Q62)&lt;='07_Regras_Complexidade'!$D$14,'07_Regras_Complexidade'!$E$14,IF(SUM(N62:Q62)&lt;='07_Regras_Complexidade'!$D$15,'07_Regras_Complexidade'!$E$15,'07_Regras_Complexidade'!$E$16)))))))</x:f>
      </x:c>
      <x:c r="S62"/>
    </x:row>
    <x:row r="63">
      <x:c r="A63"/>
      <x:c r="B63"/>
      <x:c r="C63"/>
      <x:c r="D63"/>
      <x:c r="E63"/>
      <x:c r="F63"/>
      <x:c r="G63"/>
      <x:c r="H63"/>
      <x:c r="I63" s="13" t="str">
        <x:f>IF(B63="","",IF(COUNT(F63:H63)&lt;3,"",SUM(F63:H63)))</x:f>
      </x:c>
      <x:c r="J63"/>
      <x:c r="K63"/>
      <x:c r="L63"/>
      <x:c r="M63"/>
      <x:c r="N63" s="13" t="str">
        <x:f>IF(I63="","",IF(I63&lt;='07_Regras_Complexidade'!$C$21,'07_Regras_Complexidade'!$D$21,IF(I63&lt;='07_Regras_Complexidade'!$C$22,'07_Regras_Complexidade'!$D$22,'07_Regras_Complexidade'!$D$23)))</x:f>
      </x:c>
      <x:c r="O63"/>
      <x:c r="P63"/>
      <x:c r="Q63"/>
      <x:c r="R63" s="13" t="str">
        <x:f>IF(B63="","",IF(OR(C63="Sem movimento",C63="Inativo",C63="Encerrado"),'07_Regras_Complexidade'!$E$11,IF(COUNT(N63:Q63)&lt;4,'07_Regras_Complexidade'!$E$17,IF(SUM(N63:Q63)&lt;='07_Regras_Complexidade'!$D$12,'07_Regras_Complexidade'!$E$12,IF(SUM(N63:Q63)&lt;='07_Regras_Complexidade'!$D$13,'07_Regras_Complexidade'!$E$13,IF(SUM(N63:Q63)&lt;='07_Regras_Complexidade'!$D$14,'07_Regras_Complexidade'!$E$14,IF(SUM(N63:Q63)&lt;='07_Regras_Complexidade'!$D$15,'07_Regras_Complexidade'!$E$15,'07_Regras_Complexidade'!$E$16)))))))</x:f>
      </x:c>
      <x:c r="S63"/>
    </x:row>
    <x:row r="64">
      <x:c r="A64"/>
      <x:c r="B64"/>
      <x:c r="C64"/>
      <x:c r="D64"/>
      <x:c r="E64"/>
      <x:c r="F64"/>
      <x:c r="G64"/>
      <x:c r="H64"/>
      <x:c r="I64" s="13" t="str">
        <x:f>IF(B64="","",IF(COUNT(F64:H64)&lt;3,"",SUM(F64:H64)))</x:f>
      </x:c>
      <x:c r="J64"/>
      <x:c r="K64"/>
      <x:c r="L64"/>
      <x:c r="M64"/>
      <x:c r="N64" s="13" t="str">
        <x:f>IF(I64="","",IF(I64&lt;='07_Regras_Complexidade'!$C$21,'07_Regras_Complexidade'!$D$21,IF(I64&lt;='07_Regras_Complexidade'!$C$22,'07_Regras_Complexidade'!$D$22,'07_Regras_Complexidade'!$D$23)))</x:f>
      </x:c>
      <x:c r="O64"/>
      <x:c r="P64"/>
      <x:c r="Q64"/>
      <x:c r="R64" s="13" t="str">
        <x:f>IF(B64="","",IF(OR(C64="Sem movimento",C64="Inativo",C64="Encerrado"),'07_Regras_Complexidade'!$E$11,IF(COUNT(N64:Q64)&lt;4,'07_Regras_Complexidade'!$E$17,IF(SUM(N64:Q64)&lt;='07_Regras_Complexidade'!$D$12,'07_Regras_Complexidade'!$E$12,IF(SUM(N64:Q64)&lt;='07_Regras_Complexidade'!$D$13,'07_Regras_Complexidade'!$E$13,IF(SUM(N64:Q64)&lt;='07_Regras_Complexidade'!$D$14,'07_Regras_Complexidade'!$E$14,IF(SUM(N64:Q64)&lt;='07_Regras_Complexidade'!$D$15,'07_Regras_Complexidade'!$E$15,'07_Regras_Complexidade'!$E$16)))))))</x:f>
      </x:c>
      <x:c r="S64"/>
    </x:row>
    <x:row r="65">
      <x:c r="A65"/>
      <x:c r="B65"/>
      <x:c r="C65"/>
      <x:c r="D65"/>
      <x:c r="E65"/>
      <x:c r="F65"/>
      <x:c r="G65"/>
      <x:c r="H65"/>
      <x:c r="I65" s="13" t="str">
        <x:f>IF(B65="","",IF(COUNT(F65:H65)&lt;3,"",SUM(F65:H65)))</x:f>
      </x:c>
      <x:c r="J65"/>
      <x:c r="K65"/>
      <x:c r="L65"/>
      <x:c r="M65"/>
      <x:c r="N65" s="13" t="str">
        <x:f>IF(I65="","",IF(I65&lt;='07_Regras_Complexidade'!$C$21,'07_Regras_Complexidade'!$D$21,IF(I65&lt;='07_Regras_Complexidade'!$C$22,'07_Regras_Complexidade'!$D$22,'07_Regras_Complexidade'!$D$23)))</x:f>
      </x:c>
      <x:c r="O65"/>
      <x:c r="P65"/>
      <x:c r="Q65"/>
      <x:c r="R65" s="13" t="str">
        <x:f>IF(B65="","",IF(OR(C65="Sem movimento",C65="Inativo",C65="Encerrado"),'07_Regras_Complexidade'!$E$11,IF(COUNT(N65:Q65)&lt;4,'07_Regras_Complexidade'!$E$17,IF(SUM(N65:Q65)&lt;='07_Regras_Complexidade'!$D$12,'07_Regras_Complexidade'!$E$12,IF(SUM(N65:Q65)&lt;='07_Regras_Complexidade'!$D$13,'07_Regras_Complexidade'!$E$13,IF(SUM(N65:Q65)&lt;='07_Regras_Complexidade'!$D$14,'07_Regras_Complexidade'!$E$14,IF(SUM(N65:Q65)&lt;='07_Regras_Complexidade'!$D$15,'07_Regras_Complexidade'!$E$15,'07_Regras_Complexidade'!$E$16)))))))</x:f>
      </x:c>
      <x:c r="S65"/>
    </x:row>
    <x:row r="66">
      <x:c r="A66"/>
      <x:c r="B66"/>
      <x:c r="C66"/>
      <x:c r="D66"/>
      <x:c r="E66"/>
      <x:c r="F66"/>
      <x:c r="G66"/>
      <x:c r="H66"/>
      <x:c r="I66" s="13" t="str">
        <x:f>IF(B66="","",IF(COUNT(F66:H66)&lt;3,"",SUM(F66:H66)))</x:f>
      </x:c>
      <x:c r="J66"/>
      <x:c r="K66"/>
      <x:c r="L66"/>
      <x:c r="M66"/>
      <x:c r="N66" s="13" t="str">
        <x:f>IF(I66="","",IF(I66&lt;='07_Regras_Complexidade'!$C$21,'07_Regras_Complexidade'!$D$21,IF(I66&lt;='07_Regras_Complexidade'!$C$22,'07_Regras_Complexidade'!$D$22,'07_Regras_Complexidade'!$D$23)))</x:f>
      </x:c>
      <x:c r="O66"/>
      <x:c r="P66"/>
      <x:c r="Q66"/>
      <x:c r="R66" s="13" t="str">
        <x:f>IF(B66="","",IF(OR(C66="Sem movimento",C66="Inativo",C66="Encerrado"),'07_Regras_Complexidade'!$E$11,IF(COUNT(N66:Q66)&lt;4,'07_Regras_Complexidade'!$E$17,IF(SUM(N66:Q66)&lt;='07_Regras_Complexidade'!$D$12,'07_Regras_Complexidade'!$E$12,IF(SUM(N66:Q66)&lt;='07_Regras_Complexidade'!$D$13,'07_Regras_Complexidade'!$E$13,IF(SUM(N66:Q66)&lt;='07_Regras_Complexidade'!$D$14,'07_Regras_Complexidade'!$E$14,IF(SUM(N66:Q66)&lt;='07_Regras_Complexidade'!$D$15,'07_Regras_Complexidade'!$E$15,'07_Regras_Complexidade'!$E$16)))))))</x:f>
      </x:c>
      <x:c r="S66"/>
    </x:row>
    <x:row r="67">
      <x:c r="A67"/>
      <x:c r="B67"/>
      <x:c r="C67"/>
      <x:c r="D67"/>
      <x:c r="E67"/>
      <x:c r="F67"/>
      <x:c r="G67"/>
      <x:c r="H67"/>
      <x:c r="I67" s="13" t="str">
        <x:f>IF(B67="","",IF(COUNT(F67:H67)&lt;3,"",SUM(F67:H67)))</x:f>
      </x:c>
      <x:c r="J67"/>
      <x:c r="K67"/>
      <x:c r="L67"/>
      <x:c r="M67"/>
      <x:c r="N67" s="13" t="str">
        <x:f>IF(I67="","",IF(I67&lt;='07_Regras_Complexidade'!$C$21,'07_Regras_Complexidade'!$D$21,IF(I67&lt;='07_Regras_Complexidade'!$C$22,'07_Regras_Complexidade'!$D$22,'07_Regras_Complexidade'!$D$23)))</x:f>
      </x:c>
      <x:c r="O67"/>
      <x:c r="P67"/>
      <x:c r="Q67"/>
      <x:c r="R67" s="13" t="str">
        <x:f>IF(B67="","",IF(OR(C67="Sem movimento",C67="Inativo",C67="Encerrado"),'07_Regras_Complexidade'!$E$11,IF(COUNT(N67:Q67)&lt;4,'07_Regras_Complexidade'!$E$17,IF(SUM(N67:Q67)&lt;='07_Regras_Complexidade'!$D$12,'07_Regras_Complexidade'!$E$12,IF(SUM(N67:Q67)&lt;='07_Regras_Complexidade'!$D$13,'07_Regras_Complexidade'!$E$13,IF(SUM(N67:Q67)&lt;='07_Regras_Complexidade'!$D$14,'07_Regras_Complexidade'!$E$14,IF(SUM(N67:Q67)&lt;='07_Regras_Complexidade'!$D$15,'07_Regras_Complexidade'!$E$15,'07_Regras_Complexidade'!$E$16)))))))</x:f>
      </x:c>
      <x:c r="S67"/>
    </x:row>
    <x:row r="68">
      <x:c r="A68"/>
      <x:c r="B68"/>
      <x:c r="C68"/>
      <x:c r="D68"/>
      <x:c r="E68"/>
      <x:c r="F68"/>
      <x:c r="G68"/>
      <x:c r="H68"/>
      <x:c r="I68" s="13" t="str">
        <x:f>IF(B68="","",IF(COUNT(F68:H68)&lt;3,"",SUM(F68:H68)))</x:f>
      </x:c>
      <x:c r="J68"/>
      <x:c r="K68"/>
      <x:c r="L68"/>
      <x:c r="M68"/>
      <x:c r="N68" s="13" t="str">
        <x:f>IF(I68="","",IF(I68&lt;='07_Regras_Complexidade'!$C$21,'07_Regras_Complexidade'!$D$21,IF(I68&lt;='07_Regras_Complexidade'!$C$22,'07_Regras_Complexidade'!$D$22,'07_Regras_Complexidade'!$D$23)))</x:f>
      </x:c>
      <x:c r="O68"/>
      <x:c r="P68"/>
      <x:c r="Q68"/>
      <x:c r="R68" s="13" t="str">
        <x:f>IF(B68="","",IF(OR(C68="Sem movimento",C68="Inativo",C68="Encerrado"),'07_Regras_Complexidade'!$E$11,IF(COUNT(N68:Q68)&lt;4,'07_Regras_Complexidade'!$E$17,IF(SUM(N68:Q68)&lt;='07_Regras_Complexidade'!$D$12,'07_Regras_Complexidade'!$E$12,IF(SUM(N68:Q68)&lt;='07_Regras_Complexidade'!$D$13,'07_Regras_Complexidade'!$E$13,IF(SUM(N68:Q68)&lt;='07_Regras_Complexidade'!$D$14,'07_Regras_Complexidade'!$E$14,IF(SUM(N68:Q68)&lt;='07_Regras_Complexidade'!$D$15,'07_Regras_Complexidade'!$E$15,'07_Regras_Complexidade'!$E$16)))))))</x:f>
      </x:c>
      <x:c r="S68"/>
    </x:row>
    <x:row r="69">
      <x:c r="A69"/>
      <x:c r="B69"/>
      <x:c r="C69"/>
      <x:c r="D69"/>
      <x:c r="E69"/>
      <x:c r="F69"/>
      <x:c r="G69"/>
      <x:c r="H69"/>
      <x:c r="I69" s="13" t="str">
        <x:f>IF(B69="","",IF(COUNT(F69:H69)&lt;3,"",SUM(F69:H69)))</x:f>
      </x:c>
      <x:c r="J69"/>
      <x:c r="K69"/>
      <x:c r="L69"/>
      <x:c r="M69"/>
      <x:c r="N69" s="13" t="str">
        <x:f>IF(I69="","",IF(I69&lt;='07_Regras_Complexidade'!$C$21,'07_Regras_Complexidade'!$D$21,IF(I69&lt;='07_Regras_Complexidade'!$C$22,'07_Regras_Complexidade'!$D$22,'07_Regras_Complexidade'!$D$23)))</x:f>
      </x:c>
      <x:c r="O69"/>
      <x:c r="P69"/>
      <x:c r="Q69"/>
      <x:c r="R69" s="13" t="str">
        <x:f>IF(B69="","",IF(OR(C69="Sem movimento",C69="Inativo",C69="Encerrado"),'07_Regras_Complexidade'!$E$11,IF(COUNT(N69:Q69)&lt;4,'07_Regras_Complexidade'!$E$17,IF(SUM(N69:Q69)&lt;='07_Regras_Complexidade'!$D$12,'07_Regras_Complexidade'!$E$12,IF(SUM(N69:Q69)&lt;='07_Regras_Complexidade'!$D$13,'07_Regras_Complexidade'!$E$13,IF(SUM(N69:Q69)&lt;='07_Regras_Complexidade'!$D$14,'07_Regras_Complexidade'!$E$14,IF(SUM(N69:Q69)&lt;='07_Regras_Complexidade'!$D$15,'07_Regras_Complexidade'!$E$15,'07_Regras_Complexidade'!$E$16)))))))</x:f>
      </x:c>
      <x:c r="S69"/>
    </x:row>
    <x:row r="70">
      <x:c r="A70"/>
      <x:c r="B70"/>
      <x:c r="C70"/>
      <x:c r="D70"/>
      <x:c r="E70"/>
      <x:c r="F70"/>
      <x:c r="G70"/>
      <x:c r="H70"/>
      <x:c r="I70" s="13" t="str">
        <x:f>IF(B70="","",IF(COUNT(F70:H70)&lt;3,"",SUM(F70:H70)))</x:f>
      </x:c>
      <x:c r="J70"/>
      <x:c r="K70"/>
      <x:c r="L70"/>
      <x:c r="M70"/>
      <x:c r="N70" s="13" t="str">
        <x:f>IF(I70="","",IF(I70&lt;='07_Regras_Complexidade'!$C$21,'07_Regras_Complexidade'!$D$21,IF(I70&lt;='07_Regras_Complexidade'!$C$22,'07_Regras_Complexidade'!$D$22,'07_Regras_Complexidade'!$D$23)))</x:f>
      </x:c>
      <x:c r="O70"/>
      <x:c r="P70"/>
      <x:c r="Q70"/>
      <x:c r="R70" s="13" t="str">
        <x:f>IF(B70="","",IF(OR(C70="Sem movimento",C70="Inativo",C70="Encerrado"),'07_Regras_Complexidade'!$E$11,IF(COUNT(N70:Q70)&lt;4,'07_Regras_Complexidade'!$E$17,IF(SUM(N70:Q70)&lt;='07_Regras_Complexidade'!$D$12,'07_Regras_Complexidade'!$E$12,IF(SUM(N70:Q70)&lt;='07_Regras_Complexidade'!$D$13,'07_Regras_Complexidade'!$E$13,IF(SUM(N70:Q70)&lt;='07_Regras_Complexidade'!$D$14,'07_Regras_Complexidade'!$E$14,IF(SUM(N70:Q70)&lt;='07_Regras_Complexidade'!$D$15,'07_Regras_Complexidade'!$E$15,'07_Regras_Complexidade'!$E$16)))))))</x:f>
      </x:c>
      <x:c r="S70"/>
    </x:row>
    <x:row r="71">
      <x:c r="A71"/>
      <x:c r="B71"/>
      <x:c r="C71"/>
      <x:c r="D71"/>
      <x:c r="E71"/>
      <x:c r="F71"/>
      <x:c r="G71"/>
      <x:c r="H71"/>
      <x:c r="I71" s="13" t="str">
        <x:f>IF(B71="","",IF(COUNT(F71:H71)&lt;3,"",SUM(F71:H71)))</x:f>
      </x:c>
      <x:c r="J71"/>
      <x:c r="K71"/>
      <x:c r="L71"/>
      <x:c r="M71"/>
      <x:c r="N71" s="13" t="str">
        <x:f>IF(I71="","",IF(I71&lt;='07_Regras_Complexidade'!$C$21,'07_Regras_Complexidade'!$D$21,IF(I71&lt;='07_Regras_Complexidade'!$C$22,'07_Regras_Complexidade'!$D$22,'07_Regras_Complexidade'!$D$23)))</x:f>
      </x:c>
      <x:c r="O71"/>
      <x:c r="P71"/>
      <x:c r="Q71"/>
      <x:c r="R71" s="13" t="str">
        <x:f>IF(B71="","",IF(OR(C71="Sem movimento",C71="Inativo",C71="Encerrado"),'07_Regras_Complexidade'!$E$11,IF(COUNT(N71:Q71)&lt;4,'07_Regras_Complexidade'!$E$17,IF(SUM(N71:Q71)&lt;='07_Regras_Complexidade'!$D$12,'07_Regras_Complexidade'!$E$12,IF(SUM(N71:Q71)&lt;='07_Regras_Complexidade'!$D$13,'07_Regras_Complexidade'!$E$13,IF(SUM(N71:Q71)&lt;='07_Regras_Complexidade'!$D$14,'07_Regras_Complexidade'!$E$14,IF(SUM(N71:Q71)&lt;='07_Regras_Complexidade'!$D$15,'07_Regras_Complexidade'!$E$15,'07_Regras_Complexidade'!$E$16)))))))</x:f>
      </x:c>
      <x:c r="S71"/>
    </x:row>
    <x:row r="72">
      <x:c r="A72"/>
      <x:c r="B72"/>
      <x:c r="C72"/>
      <x:c r="D72"/>
      <x:c r="E72"/>
      <x:c r="F72"/>
      <x:c r="G72"/>
      <x:c r="H72"/>
      <x:c r="I72" s="13" t="str">
        <x:f>IF(B72="","",IF(COUNT(F72:H72)&lt;3,"",SUM(F72:H72)))</x:f>
      </x:c>
      <x:c r="J72"/>
      <x:c r="K72"/>
      <x:c r="L72"/>
      <x:c r="M72"/>
      <x:c r="N72" s="13" t="str">
        <x:f>IF(I72="","",IF(I72&lt;='07_Regras_Complexidade'!$C$21,'07_Regras_Complexidade'!$D$21,IF(I72&lt;='07_Regras_Complexidade'!$C$22,'07_Regras_Complexidade'!$D$22,'07_Regras_Complexidade'!$D$23)))</x:f>
      </x:c>
      <x:c r="O72"/>
      <x:c r="P72"/>
      <x:c r="Q72"/>
      <x:c r="R72" s="13" t="str">
        <x:f>IF(B72="","",IF(OR(C72="Sem movimento",C72="Inativo",C72="Encerrado"),'07_Regras_Complexidade'!$E$11,IF(COUNT(N72:Q72)&lt;4,'07_Regras_Complexidade'!$E$17,IF(SUM(N72:Q72)&lt;='07_Regras_Complexidade'!$D$12,'07_Regras_Complexidade'!$E$12,IF(SUM(N72:Q72)&lt;='07_Regras_Complexidade'!$D$13,'07_Regras_Complexidade'!$E$13,IF(SUM(N72:Q72)&lt;='07_Regras_Complexidade'!$D$14,'07_Regras_Complexidade'!$E$14,IF(SUM(N72:Q72)&lt;='07_Regras_Complexidade'!$D$15,'07_Regras_Complexidade'!$E$15,'07_Regras_Complexidade'!$E$16)))))))</x:f>
      </x:c>
      <x:c r="S72"/>
    </x:row>
    <x:row r="73">
      <x:c r="A73"/>
      <x:c r="B73"/>
      <x:c r="C73"/>
      <x:c r="D73"/>
      <x:c r="E73"/>
      <x:c r="F73"/>
      <x:c r="G73"/>
      <x:c r="H73"/>
      <x:c r="I73" s="13" t="str">
        <x:f>IF(B73="","",IF(COUNT(F73:H73)&lt;3,"",SUM(F73:H73)))</x:f>
      </x:c>
      <x:c r="J73"/>
      <x:c r="K73"/>
      <x:c r="L73"/>
      <x:c r="M73"/>
      <x:c r="N73" s="13" t="str">
        <x:f>IF(I73="","",IF(I73&lt;='07_Regras_Complexidade'!$C$21,'07_Regras_Complexidade'!$D$21,IF(I73&lt;='07_Regras_Complexidade'!$C$22,'07_Regras_Complexidade'!$D$22,'07_Regras_Complexidade'!$D$23)))</x:f>
      </x:c>
      <x:c r="O73"/>
      <x:c r="P73"/>
      <x:c r="Q73"/>
      <x:c r="R73" s="13" t="str">
        <x:f>IF(B73="","",IF(OR(C73="Sem movimento",C73="Inativo",C73="Encerrado"),'07_Regras_Complexidade'!$E$11,IF(COUNT(N73:Q73)&lt;4,'07_Regras_Complexidade'!$E$17,IF(SUM(N73:Q73)&lt;='07_Regras_Complexidade'!$D$12,'07_Regras_Complexidade'!$E$12,IF(SUM(N73:Q73)&lt;='07_Regras_Complexidade'!$D$13,'07_Regras_Complexidade'!$E$13,IF(SUM(N73:Q73)&lt;='07_Regras_Complexidade'!$D$14,'07_Regras_Complexidade'!$E$14,IF(SUM(N73:Q73)&lt;='07_Regras_Complexidade'!$D$15,'07_Regras_Complexidade'!$E$15,'07_Regras_Complexidade'!$E$16)))))))</x:f>
      </x:c>
      <x:c r="S73"/>
    </x:row>
    <x:row r="74">
      <x:c r="A74"/>
      <x:c r="B74"/>
      <x:c r="C74"/>
      <x:c r="D74"/>
      <x:c r="E74"/>
      <x:c r="F74"/>
      <x:c r="G74"/>
      <x:c r="H74"/>
      <x:c r="I74" s="13" t="str">
        <x:f>IF(B74="","",IF(COUNT(F74:H74)&lt;3,"",SUM(F74:H74)))</x:f>
      </x:c>
      <x:c r="J74"/>
      <x:c r="K74"/>
      <x:c r="L74"/>
      <x:c r="M74"/>
      <x:c r="N74" s="13" t="str">
        <x:f>IF(I74="","",IF(I74&lt;='07_Regras_Complexidade'!$C$21,'07_Regras_Complexidade'!$D$21,IF(I74&lt;='07_Regras_Complexidade'!$C$22,'07_Regras_Complexidade'!$D$22,'07_Regras_Complexidade'!$D$23)))</x:f>
      </x:c>
      <x:c r="O74"/>
      <x:c r="P74"/>
      <x:c r="Q74"/>
      <x:c r="R74" s="13" t="str">
        <x:f>IF(B74="","",IF(OR(C74="Sem movimento",C74="Inativo",C74="Encerrado"),'07_Regras_Complexidade'!$E$11,IF(COUNT(N74:Q74)&lt;4,'07_Regras_Complexidade'!$E$17,IF(SUM(N74:Q74)&lt;='07_Regras_Complexidade'!$D$12,'07_Regras_Complexidade'!$E$12,IF(SUM(N74:Q74)&lt;='07_Regras_Complexidade'!$D$13,'07_Regras_Complexidade'!$E$13,IF(SUM(N74:Q74)&lt;='07_Regras_Complexidade'!$D$14,'07_Regras_Complexidade'!$E$14,IF(SUM(N74:Q74)&lt;='07_Regras_Complexidade'!$D$15,'07_Regras_Complexidade'!$E$15,'07_Regras_Complexidade'!$E$16)))))))</x:f>
      </x:c>
      <x:c r="S74"/>
    </x:row>
    <x:row r="75">
      <x:c r="A75"/>
      <x:c r="B75"/>
      <x:c r="C75"/>
      <x:c r="D75"/>
      <x:c r="E75"/>
      <x:c r="F75"/>
      <x:c r="G75"/>
      <x:c r="H75"/>
      <x:c r="I75" s="13" t="str">
        <x:f>IF(B75="","",IF(COUNT(F75:H75)&lt;3,"",SUM(F75:H75)))</x:f>
      </x:c>
      <x:c r="J75"/>
      <x:c r="K75"/>
      <x:c r="L75"/>
      <x:c r="M75"/>
      <x:c r="N75" s="13" t="str">
        <x:f>IF(I75="","",IF(I75&lt;='07_Regras_Complexidade'!$C$21,'07_Regras_Complexidade'!$D$21,IF(I75&lt;='07_Regras_Complexidade'!$C$22,'07_Regras_Complexidade'!$D$22,'07_Regras_Complexidade'!$D$23)))</x:f>
      </x:c>
      <x:c r="O75"/>
      <x:c r="P75"/>
      <x:c r="Q75"/>
      <x:c r="R75" s="13" t="str">
        <x:f>IF(B75="","",IF(OR(C75="Sem movimento",C75="Inativo",C75="Encerrado"),'07_Regras_Complexidade'!$E$11,IF(COUNT(N75:Q75)&lt;4,'07_Regras_Complexidade'!$E$17,IF(SUM(N75:Q75)&lt;='07_Regras_Complexidade'!$D$12,'07_Regras_Complexidade'!$E$12,IF(SUM(N75:Q75)&lt;='07_Regras_Complexidade'!$D$13,'07_Regras_Complexidade'!$E$13,IF(SUM(N75:Q75)&lt;='07_Regras_Complexidade'!$D$14,'07_Regras_Complexidade'!$E$14,IF(SUM(N75:Q75)&lt;='07_Regras_Complexidade'!$D$15,'07_Regras_Complexidade'!$E$15,'07_Regras_Complexidade'!$E$16)))))))</x:f>
      </x:c>
      <x:c r="S75"/>
    </x:row>
    <x:row r="76">
      <x:c r="A76"/>
      <x:c r="B76"/>
      <x:c r="C76"/>
      <x:c r="D76"/>
      <x:c r="E76"/>
      <x:c r="F76"/>
      <x:c r="G76"/>
      <x:c r="H76"/>
      <x:c r="I76" s="13" t="str">
        <x:f>IF(B76="","",IF(COUNT(F76:H76)&lt;3,"",SUM(F76:H76)))</x:f>
      </x:c>
      <x:c r="J76"/>
      <x:c r="K76"/>
      <x:c r="L76"/>
      <x:c r="M76"/>
      <x:c r="N76" s="13" t="str">
        <x:f>IF(I76="","",IF(I76&lt;='07_Regras_Complexidade'!$C$21,'07_Regras_Complexidade'!$D$21,IF(I76&lt;='07_Regras_Complexidade'!$C$22,'07_Regras_Complexidade'!$D$22,'07_Regras_Complexidade'!$D$23)))</x:f>
      </x:c>
      <x:c r="O76"/>
      <x:c r="P76"/>
      <x:c r="Q76"/>
      <x:c r="R76" s="13" t="str">
        <x:f>IF(B76="","",IF(OR(C76="Sem movimento",C76="Inativo",C76="Encerrado"),'07_Regras_Complexidade'!$E$11,IF(COUNT(N76:Q76)&lt;4,'07_Regras_Complexidade'!$E$17,IF(SUM(N76:Q76)&lt;='07_Regras_Complexidade'!$D$12,'07_Regras_Complexidade'!$E$12,IF(SUM(N76:Q76)&lt;='07_Regras_Complexidade'!$D$13,'07_Regras_Complexidade'!$E$13,IF(SUM(N76:Q76)&lt;='07_Regras_Complexidade'!$D$14,'07_Regras_Complexidade'!$E$14,IF(SUM(N76:Q76)&lt;='07_Regras_Complexidade'!$D$15,'07_Regras_Complexidade'!$E$15,'07_Regras_Complexidade'!$E$16)))))))</x:f>
      </x:c>
      <x:c r="S76"/>
    </x:row>
    <x:row r="77">
      <x:c r="A77"/>
      <x:c r="B77"/>
      <x:c r="C77"/>
      <x:c r="D77"/>
      <x:c r="E77"/>
      <x:c r="F77"/>
      <x:c r="G77"/>
      <x:c r="H77"/>
      <x:c r="I77" s="13" t="str">
        <x:f>IF(B77="","",IF(COUNT(F77:H77)&lt;3,"",SUM(F77:H77)))</x:f>
      </x:c>
      <x:c r="J77"/>
      <x:c r="K77"/>
      <x:c r="L77"/>
      <x:c r="M77"/>
      <x:c r="N77" s="13" t="str">
        <x:f>IF(I77="","",IF(I77&lt;='07_Regras_Complexidade'!$C$21,'07_Regras_Complexidade'!$D$21,IF(I77&lt;='07_Regras_Complexidade'!$C$22,'07_Regras_Complexidade'!$D$22,'07_Regras_Complexidade'!$D$23)))</x:f>
      </x:c>
      <x:c r="O77"/>
      <x:c r="P77"/>
      <x:c r="Q77"/>
      <x:c r="R77" s="13" t="str">
        <x:f>IF(B77="","",IF(OR(C77="Sem movimento",C77="Inativo",C77="Encerrado"),'07_Regras_Complexidade'!$E$11,IF(COUNT(N77:Q77)&lt;4,'07_Regras_Complexidade'!$E$17,IF(SUM(N77:Q77)&lt;='07_Regras_Complexidade'!$D$12,'07_Regras_Complexidade'!$E$12,IF(SUM(N77:Q77)&lt;='07_Regras_Complexidade'!$D$13,'07_Regras_Complexidade'!$E$13,IF(SUM(N77:Q77)&lt;='07_Regras_Complexidade'!$D$14,'07_Regras_Complexidade'!$E$14,IF(SUM(N77:Q77)&lt;='07_Regras_Complexidade'!$D$15,'07_Regras_Complexidade'!$E$15,'07_Regras_Complexidade'!$E$16)))))))</x:f>
      </x:c>
      <x:c r="S77"/>
    </x:row>
    <x:row r="78">
      <x:c r="A78"/>
      <x:c r="B78"/>
      <x:c r="C78"/>
      <x:c r="D78"/>
      <x:c r="E78"/>
      <x:c r="F78"/>
      <x:c r="G78"/>
      <x:c r="H78"/>
      <x:c r="I78" s="13" t="str">
        <x:f>IF(B78="","",IF(COUNT(F78:H78)&lt;3,"",SUM(F78:H78)))</x:f>
      </x:c>
      <x:c r="J78"/>
      <x:c r="K78"/>
      <x:c r="L78"/>
      <x:c r="M78"/>
      <x:c r="N78" s="13" t="str">
        <x:f>IF(I78="","",IF(I78&lt;='07_Regras_Complexidade'!$C$21,'07_Regras_Complexidade'!$D$21,IF(I78&lt;='07_Regras_Complexidade'!$C$22,'07_Regras_Complexidade'!$D$22,'07_Regras_Complexidade'!$D$23)))</x:f>
      </x:c>
      <x:c r="O78"/>
      <x:c r="P78"/>
      <x:c r="Q78"/>
      <x:c r="R78" s="13" t="str">
        <x:f>IF(B78="","",IF(OR(C78="Sem movimento",C78="Inativo",C78="Encerrado"),'07_Regras_Complexidade'!$E$11,IF(COUNT(N78:Q78)&lt;4,'07_Regras_Complexidade'!$E$17,IF(SUM(N78:Q78)&lt;='07_Regras_Complexidade'!$D$12,'07_Regras_Complexidade'!$E$12,IF(SUM(N78:Q78)&lt;='07_Regras_Complexidade'!$D$13,'07_Regras_Complexidade'!$E$13,IF(SUM(N78:Q78)&lt;='07_Regras_Complexidade'!$D$14,'07_Regras_Complexidade'!$E$14,IF(SUM(N78:Q78)&lt;='07_Regras_Complexidade'!$D$15,'07_Regras_Complexidade'!$E$15,'07_Regras_Complexidade'!$E$16)))))))</x:f>
      </x:c>
      <x:c r="S78"/>
    </x:row>
    <x:row r="79">
      <x:c r="A79"/>
      <x:c r="B79"/>
      <x:c r="C79"/>
      <x:c r="D79"/>
      <x:c r="E79"/>
      <x:c r="F79"/>
      <x:c r="G79"/>
      <x:c r="H79"/>
      <x:c r="I79" s="13" t="str">
        <x:f>IF(B79="","",IF(COUNT(F79:H79)&lt;3,"",SUM(F79:H79)))</x:f>
      </x:c>
      <x:c r="J79"/>
      <x:c r="K79"/>
      <x:c r="L79"/>
      <x:c r="M79"/>
      <x:c r="N79" s="13" t="str">
        <x:f>IF(I79="","",IF(I79&lt;='07_Regras_Complexidade'!$C$21,'07_Regras_Complexidade'!$D$21,IF(I79&lt;='07_Regras_Complexidade'!$C$22,'07_Regras_Complexidade'!$D$22,'07_Regras_Complexidade'!$D$23)))</x:f>
      </x:c>
      <x:c r="O79"/>
      <x:c r="P79"/>
      <x:c r="Q79"/>
      <x:c r="R79" s="13" t="str">
        <x:f>IF(B79="","",IF(OR(C79="Sem movimento",C79="Inativo",C79="Encerrado"),'07_Regras_Complexidade'!$E$11,IF(COUNT(N79:Q79)&lt;4,'07_Regras_Complexidade'!$E$17,IF(SUM(N79:Q79)&lt;='07_Regras_Complexidade'!$D$12,'07_Regras_Complexidade'!$E$12,IF(SUM(N79:Q79)&lt;='07_Regras_Complexidade'!$D$13,'07_Regras_Complexidade'!$E$13,IF(SUM(N79:Q79)&lt;='07_Regras_Complexidade'!$D$14,'07_Regras_Complexidade'!$E$14,IF(SUM(N79:Q79)&lt;='07_Regras_Complexidade'!$D$15,'07_Regras_Complexidade'!$E$15,'07_Regras_Complexidade'!$E$16)))))))</x:f>
      </x:c>
      <x:c r="S79"/>
    </x:row>
    <x:row r="80">
      <x:c r="A80"/>
      <x:c r="B80"/>
      <x:c r="C80"/>
      <x:c r="D80"/>
      <x:c r="E80"/>
      <x:c r="F80"/>
      <x:c r="G80"/>
      <x:c r="H80"/>
      <x:c r="I80" s="13" t="str">
        <x:f>IF(B80="","",IF(COUNT(F80:H80)&lt;3,"",SUM(F80:H80)))</x:f>
      </x:c>
      <x:c r="J80"/>
      <x:c r="K80"/>
      <x:c r="L80"/>
      <x:c r="M80"/>
      <x:c r="N80" s="13" t="str">
        <x:f>IF(I80="","",IF(I80&lt;='07_Regras_Complexidade'!$C$21,'07_Regras_Complexidade'!$D$21,IF(I80&lt;='07_Regras_Complexidade'!$C$22,'07_Regras_Complexidade'!$D$22,'07_Regras_Complexidade'!$D$23)))</x:f>
      </x:c>
      <x:c r="O80"/>
      <x:c r="P80"/>
      <x:c r="Q80"/>
      <x:c r="R80" s="13" t="str">
        <x:f>IF(B80="","",IF(OR(C80="Sem movimento",C80="Inativo",C80="Encerrado"),'07_Regras_Complexidade'!$E$11,IF(COUNT(N80:Q80)&lt;4,'07_Regras_Complexidade'!$E$17,IF(SUM(N80:Q80)&lt;='07_Regras_Complexidade'!$D$12,'07_Regras_Complexidade'!$E$12,IF(SUM(N80:Q80)&lt;='07_Regras_Complexidade'!$D$13,'07_Regras_Complexidade'!$E$13,IF(SUM(N80:Q80)&lt;='07_Regras_Complexidade'!$D$14,'07_Regras_Complexidade'!$E$14,IF(SUM(N80:Q80)&lt;='07_Regras_Complexidade'!$D$15,'07_Regras_Complexidade'!$E$15,'07_Regras_Complexidade'!$E$16)))))))</x:f>
      </x:c>
      <x:c r="S80"/>
    </x:row>
    <x:row r="81">
      <x:c r="A81"/>
      <x:c r="B81"/>
      <x:c r="C81"/>
      <x:c r="D81"/>
      <x:c r="E81"/>
      <x:c r="F81"/>
      <x:c r="G81"/>
      <x:c r="H81"/>
      <x:c r="I81" s="13" t="str">
        <x:f>IF(B81="","",IF(COUNT(F81:H81)&lt;3,"",SUM(F81:H81)))</x:f>
      </x:c>
      <x:c r="J81"/>
      <x:c r="K81"/>
      <x:c r="L81"/>
      <x:c r="M81"/>
      <x:c r="N81" s="13" t="str">
        <x:f>IF(I81="","",IF(I81&lt;='07_Regras_Complexidade'!$C$21,'07_Regras_Complexidade'!$D$21,IF(I81&lt;='07_Regras_Complexidade'!$C$22,'07_Regras_Complexidade'!$D$22,'07_Regras_Complexidade'!$D$23)))</x:f>
      </x:c>
      <x:c r="O81"/>
      <x:c r="P81"/>
      <x:c r="Q81"/>
      <x:c r="R81" s="13" t="str">
        <x:f>IF(B81="","",IF(OR(C81="Sem movimento",C81="Inativo",C81="Encerrado"),'07_Regras_Complexidade'!$E$11,IF(COUNT(N81:Q81)&lt;4,'07_Regras_Complexidade'!$E$17,IF(SUM(N81:Q81)&lt;='07_Regras_Complexidade'!$D$12,'07_Regras_Complexidade'!$E$12,IF(SUM(N81:Q81)&lt;='07_Regras_Complexidade'!$D$13,'07_Regras_Complexidade'!$E$13,IF(SUM(N81:Q81)&lt;='07_Regras_Complexidade'!$D$14,'07_Regras_Complexidade'!$E$14,IF(SUM(N81:Q81)&lt;='07_Regras_Complexidade'!$D$15,'07_Regras_Complexidade'!$E$15,'07_Regras_Complexidade'!$E$16)))))))</x:f>
      </x:c>
      <x:c r="S81"/>
    </x:row>
    <x:row r="82">
      <x:c r="A82"/>
      <x:c r="B82"/>
      <x:c r="C82"/>
      <x:c r="D82"/>
      <x:c r="E82"/>
      <x:c r="F82"/>
      <x:c r="G82"/>
      <x:c r="H82"/>
      <x:c r="I82" s="13" t="str">
        <x:f>IF(B82="","",IF(COUNT(F82:H82)&lt;3,"",SUM(F82:H82)))</x:f>
      </x:c>
      <x:c r="J82"/>
      <x:c r="K82"/>
      <x:c r="L82"/>
      <x:c r="M82"/>
      <x:c r="N82" s="13" t="str">
        <x:f>IF(I82="","",IF(I82&lt;='07_Regras_Complexidade'!$C$21,'07_Regras_Complexidade'!$D$21,IF(I82&lt;='07_Regras_Complexidade'!$C$22,'07_Regras_Complexidade'!$D$22,'07_Regras_Complexidade'!$D$23)))</x:f>
      </x:c>
      <x:c r="O82"/>
      <x:c r="P82"/>
      <x:c r="Q82"/>
      <x:c r="R82" s="13" t="str">
        <x:f>IF(B82="","",IF(OR(C82="Sem movimento",C82="Inativo",C82="Encerrado"),'07_Regras_Complexidade'!$E$11,IF(COUNT(N82:Q82)&lt;4,'07_Regras_Complexidade'!$E$17,IF(SUM(N82:Q82)&lt;='07_Regras_Complexidade'!$D$12,'07_Regras_Complexidade'!$E$12,IF(SUM(N82:Q82)&lt;='07_Regras_Complexidade'!$D$13,'07_Regras_Complexidade'!$E$13,IF(SUM(N82:Q82)&lt;='07_Regras_Complexidade'!$D$14,'07_Regras_Complexidade'!$E$14,IF(SUM(N82:Q82)&lt;='07_Regras_Complexidade'!$D$15,'07_Regras_Complexidade'!$E$15,'07_Regras_Complexidade'!$E$16)))))))</x:f>
      </x:c>
      <x:c r="S82"/>
    </x:row>
    <x:row r="83">
      <x:c r="A83"/>
      <x:c r="B83"/>
      <x:c r="C83"/>
      <x:c r="D83"/>
      <x:c r="E83"/>
      <x:c r="F83"/>
      <x:c r="G83"/>
      <x:c r="H83"/>
      <x:c r="I83" s="13" t="str">
        <x:f>IF(B83="","",IF(COUNT(F83:H83)&lt;3,"",SUM(F83:H83)))</x:f>
      </x:c>
      <x:c r="J83"/>
      <x:c r="K83"/>
      <x:c r="L83"/>
      <x:c r="M83"/>
      <x:c r="N83" s="13" t="str">
        <x:f>IF(I83="","",IF(I83&lt;='07_Regras_Complexidade'!$C$21,'07_Regras_Complexidade'!$D$21,IF(I83&lt;='07_Regras_Complexidade'!$C$22,'07_Regras_Complexidade'!$D$22,'07_Regras_Complexidade'!$D$23)))</x:f>
      </x:c>
      <x:c r="O83"/>
      <x:c r="P83"/>
      <x:c r="Q83"/>
      <x:c r="R83" s="13" t="str">
        <x:f>IF(B83="","",IF(OR(C83="Sem movimento",C83="Inativo",C83="Encerrado"),'07_Regras_Complexidade'!$E$11,IF(COUNT(N83:Q83)&lt;4,'07_Regras_Complexidade'!$E$17,IF(SUM(N83:Q83)&lt;='07_Regras_Complexidade'!$D$12,'07_Regras_Complexidade'!$E$12,IF(SUM(N83:Q83)&lt;='07_Regras_Complexidade'!$D$13,'07_Regras_Complexidade'!$E$13,IF(SUM(N83:Q83)&lt;='07_Regras_Complexidade'!$D$14,'07_Regras_Complexidade'!$E$14,IF(SUM(N83:Q83)&lt;='07_Regras_Complexidade'!$D$15,'07_Regras_Complexidade'!$E$15,'07_Regras_Complexidade'!$E$16)))))))</x:f>
      </x:c>
      <x:c r="S83"/>
    </x:row>
    <x:row r="84">
      <x:c r="A84"/>
      <x:c r="B84"/>
      <x:c r="C84"/>
      <x:c r="D84"/>
      <x:c r="E84"/>
      <x:c r="F84"/>
      <x:c r="G84"/>
      <x:c r="H84"/>
      <x:c r="I84" s="13" t="str">
        <x:f>IF(B84="","",IF(COUNT(F84:H84)&lt;3,"",SUM(F84:H84)))</x:f>
      </x:c>
      <x:c r="J84"/>
      <x:c r="K84"/>
      <x:c r="L84"/>
      <x:c r="M84"/>
      <x:c r="N84" s="13" t="str">
        <x:f>IF(I84="","",IF(I84&lt;='07_Regras_Complexidade'!$C$21,'07_Regras_Complexidade'!$D$21,IF(I84&lt;='07_Regras_Complexidade'!$C$22,'07_Regras_Complexidade'!$D$22,'07_Regras_Complexidade'!$D$23)))</x:f>
      </x:c>
      <x:c r="O84"/>
      <x:c r="P84"/>
      <x:c r="Q84"/>
      <x:c r="R84" s="13" t="str">
        <x:f>IF(B84="","",IF(OR(C84="Sem movimento",C84="Inativo",C84="Encerrado"),'07_Regras_Complexidade'!$E$11,IF(COUNT(N84:Q84)&lt;4,'07_Regras_Complexidade'!$E$17,IF(SUM(N84:Q84)&lt;='07_Regras_Complexidade'!$D$12,'07_Regras_Complexidade'!$E$12,IF(SUM(N84:Q84)&lt;='07_Regras_Complexidade'!$D$13,'07_Regras_Complexidade'!$E$13,IF(SUM(N84:Q84)&lt;='07_Regras_Complexidade'!$D$14,'07_Regras_Complexidade'!$E$14,IF(SUM(N84:Q84)&lt;='07_Regras_Complexidade'!$D$15,'07_Regras_Complexidade'!$E$15,'07_Regras_Complexidade'!$E$16)))))))</x:f>
      </x:c>
      <x:c r="S84"/>
    </x:row>
    <x:row r="85">
      <x:c r="A85"/>
      <x:c r="B85"/>
      <x:c r="C85"/>
      <x:c r="D85"/>
      <x:c r="E85"/>
      <x:c r="F85"/>
      <x:c r="G85"/>
      <x:c r="H85"/>
      <x:c r="I85" s="13" t="str">
        <x:f>IF(B85="","",IF(COUNT(F85:H85)&lt;3,"",SUM(F85:H85)))</x:f>
      </x:c>
      <x:c r="J85"/>
      <x:c r="K85"/>
      <x:c r="L85"/>
      <x:c r="M85"/>
      <x:c r="N85" s="13" t="str">
        <x:f>IF(I85="","",IF(I85&lt;='07_Regras_Complexidade'!$C$21,'07_Regras_Complexidade'!$D$21,IF(I85&lt;='07_Regras_Complexidade'!$C$22,'07_Regras_Complexidade'!$D$22,'07_Regras_Complexidade'!$D$23)))</x:f>
      </x:c>
      <x:c r="O85"/>
      <x:c r="P85"/>
      <x:c r="Q85"/>
      <x:c r="R85" s="13" t="str">
        <x:f>IF(B85="","",IF(OR(C85="Sem movimento",C85="Inativo",C85="Encerrado"),'07_Regras_Complexidade'!$E$11,IF(COUNT(N85:Q85)&lt;4,'07_Regras_Complexidade'!$E$17,IF(SUM(N85:Q85)&lt;='07_Regras_Complexidade'!$D$12,'07_Regras_Complexidade'!$E$12,IF(SUM(N85:Q85)&lt;='07_Regras_Complexidade'!$D$13,'07_Regras_Complexidade'!$E$13,IF(SUM(N85:Q85)&lt;='07_Regras_Complexidade'!$D$14,'07_Regras_Complexidade'!$E$14,IF(SUM(N85:Q85)&lt;='07_Regras_Complexidade'!$D$15,'07_Regras_Complexidade'!$E$15,'07_Regras_Complexidade'!$E$16)))))))</x:f>
      </x:c>
      <x:c r="S85"/>
    </x:row>
    <x:row r="86">
      <x:c r="A86"/>
      <x:c r="B86"/>
      <x:c r="C86"/>
      <x:c r="D86"/>
      <x:c r="E86"/>
      <x:c r="F86"/>
      <x:c r="G86"/>
      <x:c r="H86"/>
      <x:c r="I86" s="13" t="str">
        <x:f>IF(B86="","",IF(COUNT(F86:H86)&lt;3,"",SUM(F86:H86)))</x:f>
      </x:c>
      <x:c r="J86"/>
      <x:c r="K86"/>
      <x:c r="L86"/>
      <x:c r="M86"/>
      <x:c r="N86" s="13" t="str">
        <x:f>IF(I86="","",IF(I86&lt;='07_Regras_Complexidade'!$C$21,'07_Regras_Complexidade'!$D$21,IF(I86&lt;='07_Regras_Complexidade'!$C$22,'07_Regras_Complexidade'!$D$22,'07_Regras_Complexidade'!$D$23)))</x:f>
      </x:c>
      <x:c r="O86"/>
      <x:c r="P86"/>
      <x:c r="Q86"/>
      <x:c r="R86" s="13" t="str">
        <x:f>IF(B86="","",IF(OR(C86="Sem movimento",C86="Inativo",C86="Encerrado"),'07_Regras_Complexidade'!$E$11,IF(COUNT(N86:Q86)&lt;4,'07_Regras_Complexidade'!$E$17,IF(SUM(N86:Q86)&lt;='07_Regras_Complexidade'!$D$12,'07_Regras_Complexidade'!$E$12,IF(SUM(N86:Q86)&lt;='07_Regras_Complexidade'!$D$13,'07_Regras_Complexidade'!$E$13,IF(SUM(N86:Q86)&lt;='07_Regras_Complexidade'!$D$14,'07_Regras_Complexidade'!$E$14,IF(SUM(N86:Q86)&lt;='07_Regras_Complexidade'!$D$15,'07_Regras_Complexidade'!$E$15,'07_Regras_Complexidade'!$E$16)))))))</x:f>
      </x:c>
      <x:c r="S86"/>
    </x:row>
    <x:row r="87">
      <x:c r="A87"/>
      <x:c r="B87"/>
      <x:c r="C87"/>
      <x:c r="D87"/>
      <x:c r="E87"/>
      <x:c r="F87"/>
      <x:c r="G87"/>
      <x:c r="H87"/>
      <x:c r="I87" s="13" t="str">
        <x:f>IF(B87="","",IF(COUNT(F87:H87)&lt;3,"",SUM(F87:H87)))</x:f>
      </x:c>
      <x:c r="J87"/>
      <x:c r="K87"/>
      <x:c r="L87"/>
      <x:c r="M87"/>
      <x:c r="N87" s="13" t="str">
        <x:f>IF(I87="","",IF(I87&lt;='07_Regras_Complexidade'!$C$21,'07_Regras_Complexidade'!$D$21,IF(I87&lt;='07_Regras_Complexidade'!$C$22,'07_Regras_Complexidade'!$D$22,'07_Regras_Complexidade'!$D$23)))</x:f>
      </x:c>
      <x:c r="O87"/>
      <x:c r="P87"/>
      <x:c r="Q87"/>
      <x:c r="R87" s="13" t="str">
        <x:f>IF(B87="","",IF(OR(C87="Sem movimento",C87="Inativo",C87="Encerrado"),'07_Regras_Complexidade'!$E$11,IF(COUNT(N87:Q87)&lt;4,'07_Regras_Complexidade'!$E$17,IF(SUM(N87:Q87)&lt;='07_Regras_Complexidade'!$D$12,'07_Regras_Complexidade'!$E$12,IF(SUM(N87:Q87)&lt;='07_Regras_Complexidade'!$D$13,'07_Regras_Complexidade'!$E$13,IF(SUM(N87:Q87)&lt;='07_Regras_Complexidade'!$D$14,'07_Regras_Complexidade'!$E$14,IF(SUM(N87:Q87)&lt;='07_Regras_Complexidade'!$D$15,'07_Regras_Complexidade'!$E$15,'07_Regras_Complexidade'!$E$16)))))))</x:f>
      </x:c>
      <x:c r="S87"/>
    </x:row>
    <x:row r="88">
      <x:c r="A88"/>
      <x:c r="B88"/>
      <x:c r="C88"/>
      <x:c r="D88"/>
      <x:c r="E88"/>
      <x:c r="F88"/>
      <x:c r="G88"/>
      <x:c r="H88"/>
      <x:c r="I88" s="13" t="str">
        <x:f>IF(B88="","",IF(COUNT(F88:H88)&lt;3,"",SUM(F88:H88)))</x:f>
      </x:c>
      <x:c r="J88"/>
      <x:c r="K88"/>
      <x:c r="L88"/>
      <x:c r="M88"/>
      <x:c r="N88" s="13" t="str">
        <x:f>IF(I88="","",IF(I88&lt;='07_Regras_Complexidade'!$C$21,'07_Regras_Complexidade'!$D$21,IF(I88&lt;='07_Regras_Complexidade'!$C$22,'07_Regras_Complexidade'!$D$22,'07_Regras_Complexidade'!$D$23)))</x:f>
      </x:c>
      <x:c r="O88"/>
      <x:c r="P88"/>
      <x:c r="Q88"/>
      <x:c r="R88" s="13" t="str">
        <x:f>IF(B88="","",IF(OR(C88="Sem movimento",C88="Inativo",C88="Encerrado"),'07_Regras_Complexidade'!$E$11,IF(COUNT(N88:Q88)&lt;4,'07_Regras_Complexidade'!$E$17,IF(SUM(N88:Q88)&lt;='07_Regras_Complexidade'!$D$12,'07_Regras_Complexidade'!$E$12,IF(SUM(N88:Q88)&lt;='07_Regras_Complexidade'!$D$13,'07_Regras_Complexidade'!$E$13,IF(SUM(N88:Q88)&lt;='07_Regras_Complexidade'!$D$14,'07_Regras_Complexidade'!$E$14,IF(SUM(N88:Q88)&lt;='07_Regras_Complexidade'!$D$15,'07_Regras_Complexidade'!$E$15,'07_Regras_Complexidade'!$E$16)))))))</x:f>
      </x:c>
      <x:c r="S88"/>
    </x:row>
    <x:row r="89">
      <x:c r="A89"/>
      <x:c r="B89"/>
      <x:c r="C89"/>
      <x:c r="D89"/>
      <x:c r="E89"/>
      <x:c r="F89"/>
      <x:c r="G89"/>
      <x:c r="H89"/>
      <x:c r="I89" s="13" t="str">
        <x:f>IF(B89="","",IF(COUNT(F89:H89)&lt;3,"",SUM(F89:H89)))</x:f>
      </x:c>
      <x:c r="J89"/>
      <x:c r="K89"/>
      <x:c r="L89"/>
      <x:c r="M89"/>
      <x:c r="N89" s="13" t="str">
        <x:f>IF(I89="","",IF(I89&lt;='07_Regras_Complexidade'!$C$21,'07_Regras_Complexidade'!$D$21,IF(I89&lt;='07_Regras_Complexidade'!$C$22,'07_Regras_Complexidade'!$D$22,'07_Regras_Complexidade'!$D$23)))</x:f>
      </x:c>
      <x:c r="O89"/>
      <x:c r="P89"/>
      <x:c r="Q89"/>
      <x:c r="R89" s="13" t="str">
        <x:f>IF(B89="","",IF(OR(C89="Sem movimento",C89="Inativo",C89="Encerrado"),'07_Regras_Complexidade'!$E$11,IF(COUNT(N89:Q89)&lt;4,'07_Regras_Complexidade'!$E$17,IF(SUM(N89:Q89)&lt;='07_Regras_Complexidade'!$D$12,'07_Regras_Complexidade'!$E$12,IF(SUM(N89:Q89)&lt;='07_Regras_Complexidade'!$D$13,'07_Regras_Complexidade'!$E$13,IF(SUM(N89:Q89)&lt;='07_Regras_Complexidade'!$D$14,'07_Regras_Complexidade'!$E$14,IF(SUM(N89:Q89)&lt;='07_Regras_Complexidade'!$D$15,'07_Regras_Complexidade'!$E$15,'07_Regras_Complexidade'!$E$16)))))))</x:f>
      </x:c>
      <x:c r="S89"/>
    </x:row>
    <x:row r="90">
      <x:c r="A90"/>
      <x:c r="B90"/>
      <x:c r="C90"/>
      <x:c r="D90"/>
      <x:c r="E90"/>
      <x:c r="F90"/>
      <x:c r="G90"/>
      <x:c r="H90"/>
      <x:c r="I90" s="13" t="str">
        <x:f>IF(B90="","",IF(COUNT(F90:H90)&lt;3,"",SUM(F90:H90)))</x:f>
      </x:c>
      <x:c r="J90"/>
      <x:c r="K90"/>
      <x:c r="L90"/>
      <x:c r="M90"/>
      <x:c r="N90" s="13" t="str">
        <x:f>IF(I90="","",IF(I90&lt;='07_Regras_Complexidade'!$C$21,'07_Regras_Complexidade'!$D$21,IF(I90&lt;='07_Regras_Complexidade'!$C$22,'07_Regras_Complexidade'!$D$22,'07_Regras_Complexidade'!$D$23)))</x:f>
      </x:c>
      <x:c r="O90"/>
      <x:c r="P90"/>
      <x:c r="Q90"/>
      <x:c r="R90" s="13" t="str">
        <x:f>IF(B90="","",IF(OR(C90="Sem movimento",C90="Inativo",C90="Encerrado"),'07_Regras_Complexidade'!$E$11,IF(COUNT(N90:Q90)&lt;4,'07_Regras_Complexidade'!$E$17,IF(SUM(N90:Q90)&lt;='07_Regras_Complexidade'!$D$12,'07_Regras_Complexidade'!$E$12,IF(SUM(N90:Q90)&lt;='07_Regras_Complexidade'!$D$13,'07_Regras_Complexidade'!$E$13,IF(SUM(N90:Q90)&lt;='07_Regras_Complexidade'!$D$14,'07_Regras_Complexidade'!$E$14,IF(SUM(N90:Q90)&lt;='07_Regras_Complexidade'!$D$15,'07_Regras_Complexidade'!$E$15,'07_Regras_Complexidade'!$E$16)))))))</x:f>
      </x:c>
      <x:c r="S90"/>
    </x:row>
    <x:row r="91">
      <x:c r="A91"/>
      <x:c r="B91"/>
      <x:c r="C91"/>
      <x:c r="D91"/>
      <x:c r="E91"/>
      <x:c r="F91"/>
      <x:c r="G91"/>
      <x:c r="H91"/>
      <x:c r="I91" s="13" t="str">
        <x:f>IF(B91="","",IF(COUNT(F91:H91)&lt;3,"",SUM(F91:H91)))</x:f>
      </x:c>
      <x:c r="J91"/>
      <x:c r="K91"/>
      <x:c r="L91"/>
      <x:c r="M91"/>
      <x:c r="N91" s="13" t="str">
        <x:f>IF(I91="","",IF(I91&lt;='07_Regras_Complexidade'!$C$21,'07_Regras_Complexidade'!$D$21,IF(I91&lt;='07_Regras_Complexidade'!$C$22,'07_Regras_Complexidade'!$D$22,'07_Regras_Complexidade'!$D$23)))</x:f>
      </x:c>
      <x:c r="O91"/>
      <x:c r="P91"/>
      <x:c r="Q91"/>
      <x:c r="R91" s="13" t="str">
        <x:f>IF(B91="","",IF(OR(C91="Sem movimento",C91="Inativo",C91="Encerrado"),'07_Regras_Complexidade'!$E$11,IF(COUNT(N91:Q91)&lt;4,'07_Regras_Complexidade'!$E$17,IF(SUM(N91:Q91)&lt;='07_Regras_Complexidade'!$D$12,'07_Regras_Complexidade'!$E$12,IF(SUM(N91:Q91)&lt;='07_Regras_Complexidade'!$D$13,'07_Regras_Complexidade'!$E$13,IF(SUM(N91:Q91)&lt;='07_Regras_Complexidade'!$D$14,'07_Regras_Complexidade'!$E$14,IF(SUM(N91:Q91)&lt;='07_Regras_Complexidade'!$D$15,'07_Regras_Complexidade'!$E$15,'07_Regras_Complexidade'!$E$16)))))))</x:f>
      </x:c>
      <x:c r="S91"/>
    </x:row>
    <x:row r="92">
      <x:c r="A92"/>
      <x:c r="B92"/>
      <x:c r="C92"/>
      <x:c r="D92"/>
      <x:c r="E92"/>
      <x:c r="F92"/>
      <x:c r="G92"/>
      <x:c r="H92"/>
      <x:c r="I92" s="13" t="str">
        <x:f>IF(B92="","",IF(COUNT(F92:H92)&lt;3,"",SUM(F92:H92)))</x:f>
      </x:c>
      <x:c r="J92"/>
      <x:c r="K92"/>
      <x:c r="L92"/>
      <x:c r="M92"/>
      <x:c r="N92" s="13" t="str">
        <x:f>IF(I92="","",IF(I92&lt;='07_Regras_Complexidade'!$C$21,'07_Regras_Complexidade'!$D$21,IF(I92&lt;='07_Regras_Complexidade'!$C$22,'07_Regras_Complexidade'!$D$22,'07_Regras_Complexidade'!$D$23)))</x:f>
      </x:c>
      <x:c r="O92"/>
      <x:c r="P92"/>
      <x:c r="Q92"/>
      <x:c r="R92" s="13" t="str">
        <x:f>IF(B92="","",IF(OR(C92="Sem movimento",C92="Inativo",C92="Encerrado"),'07_Regras_Complexidade'!$E$11,IF(COUNT(N92:Q92)&lt;4,'07_Regras_Complexidade'!$E$17,IF(SUM(N92:Q92)&lt;='07_Regras_Complexidade'!$D$12,'07_Regras_Complexidade'!$E$12,IF(SUM(N92:Q92)&lt;='07_Regras_Complexidade'!$D$13,'07_Regras_Complexidade'!$E$13,IF(SUM(N92:Q92)&lt;='07_Regras_Complexidade'!$D$14,'07_Regras_Complexidade'!$E$14,IF(SUM(N92:Q92)&lt;='07_Regras_Complexidade'!$D$15,'07_Regras_Complexidade'!$E$15,'07_Regras_Complexidade'!$E$16)))))))</x:f>
      </x:c>
      <x:c r="S92"/>
    </x:row>
    <x:row r="93">
      <x:c r="A93"/>
      <x:c r="B93"/>
      <x:c r="C93"/>
      <x:c r="D93"/>
      <x:c r="E93"/>
      <x:c r="F93"/>
      <x:c r="G93"/>
      <x:c r="H93"/>
      <x:c r="I93" s="13" t="str">
        <x:f>IF(B93="","",IF(COUNT(F93:H93)&lt;3,"",SUM(F93:H93)))</x:f>
      </x:c>
      <x:c r="J93"/>
      <x:c r="K93"/>
      <x:c r="L93"/>
      <x:c r="M93"/>
      <x:c r="N93" s="13" t="str">
        <x:f>IF(I93="","",IF(I93&lt;='07_Regras_Complexidade'!$C$21,'07_Regras_Complexidade'!$D$21,IF(I93&lt;='07_Regras_Complexidade'!$C$22,'07_Regras_Complexidade'!$D$22,'07_Regras_Complexidade'!$D$23)))</x:f>
      </x:c>
      <x:c r="O93"/>
      <x:c r="P93"/>
      <x:c r="Q93"/>
      <x:c r="R93" s="13" t="str">
        <x:f>IF(B93="","",IF(OR(C93="Sem movimento",C93="Inativo",C93="Encerrado"),'07_Regras_Complexidade'!$E$11,IF(COUNT(N93:Q93)&lt;4,'07_Regras_Complexidade'!$E$17,IF(SUM(N93:Q93)&lt;='07_Regras_Complexidade'!$D$12,'07_Regras_Complexidade'!$E$12,IF(SUM(N93:Q93)&lt;='07_Regras_Complexidade'!$D$13,'07_Regras_Complexidade'!$E$13,IF(SUM(N93:Q93)&lt;='07_Regras_Complexidade'!$D$14,'07_Regras_Complexidade'!$E$14,IF(SUM(N93:Q93)&lt;='07_Regras_Complexidade'!$D$15,'07_Regras_Complexidade'!$E$15,'07_Regras_Complexidade'!$E$16)))))))</x:f>
      </x:c>
      <x:c r="S93"/>
    </x:row>
    <x:row r="94">
      <x:c r="A94"/>
      <x:c r="B94"/>
      <x:c r="C94"/>
      <x:c r="D94"/>
      <x:c r="E94"/>
      <x:c r="F94"/>
      <x:c r="G94"/>
      <x:c r="H94"/>
      <x:c r="I94" s="13" t="str">
        <x:f>IF(B94="","",IF(COUNT(F94:H94)&lt;3,"",SUM(F94:H94)))</x:f>
      </x:c>
      <x:c r="J94"/>
      <x:c r="K94"/>
      <x:c r="L94"/>
      <x:c r="M94"/>
      <x:c r="N94" s="13" t="str">
        <x:f>IF(I94="","",IF(I94&lt;='07_Regras_Complexidade'!$C$21,'07_Regras_Complexidade'!$D$21,IF(I94&lt;='07_Regras_Complexidade'!$C$22,'07_Regras_Complexidade'!$D$22,'07_Regras_Complexidade'!$D$23)))</x:f>
      </x:c>
      <x:c r="O94"/>
      <x:c r="P94"/>
      <x:c r="Q94"/>
      <x:c r="R94" s="13" t="str">
        <x:f>IF(B94="","",IF(OR(C94="Sem movimento",C94="Inativo",C94="Encerrado"),'07_Regras_Complexidade'!$E$11,IF(COUNT(N94:Q94)&lt;4,'07_Regras_Complexidade'!$E$17,IF(SUM(N94:Q94)&lt;='07_Regras_Complexidade'!$D$12,'07_Regras_Complexidade'!$E$12,IF(SUM(N94:Q94)&lt;='07_Regras_Complexidade'!$D$13,'07_Regras_Complexidade'!$E$13,IF(SUM(N94:Q94)&lt;='07_Regras_Complexidade'!$D$14,'07_Regras_Complexidade'!$E$14,IF(SUM(N94:Q94)&lt;='07_Regras_Complexidade'!$D$15,'07_Regras_Complexidade'!$E$15,'07_Regras_Complexidade'!$E$16)))))))</x:f>
      </x:c>
      <x:c r="S94"/>
    </x:row>
    <x:row r="95">
      <x:c r="A95"/>
      <x:c r="B95"/>
      <x:c r="C95"/>
      <x:c r="D95"/>
      <x:c r="E95"/>
      <x:c r="F95"/>
      <x:c r="G95"/>
      <x:c r="H95"/>
      <x:c r="I95" s="13" t="str">
        <x:f>IF(B95="","",IF(COUNT(F95:H95)&lt;3,"",SUM(F95:H95)))</x:f>
      </x:c>
      <x:c r="J95"/>
      <x:c r="K95"/>
      <x:c r="L95"/>
      <x:c r="M95"/>
      <x:c r="N95" s="13" t="str">
        <x:f>IF(I95="","",IF(I95&lt;='07_Regras_Complexidade'!$C$21,'07_Regras_Complexidade'!$D$21,IF(I95&lt;='07_Regras_Complexidade'!$C$22,'07_Regras_Complexidade'!$D$22,'07_Regras_Complexidade'!$D$23)))</x:f>
      </x:c>
      <x:c r="O95"/>
      <x:c r="P95"/>
      <x:c r="Q95"/>
      <x:c r="R95" s="13" t="str">
        <x:f>IF(B95="","",IF(OR(C95="Sem movimento",C95="Inativo",C95="Encerrado"),'07_Regras_Complexidade'!$E$11,IF(COUNT(N95:Q95)&lt;4,'07_Regras_Complexidade'!$E$17,IF(SUM(N95:Q95)&lt;='07_Regras_Complexidade'!$D$12,'07_Regras_Complexidade'!$E$12,IF(SUM(N95:Q95)&lt;='07_Regras_Complexidade'!$D$13,'07_Regras_Complexidade'!$E$13,IF(SUM(N95:Q95)&lt;='07_Regras_Complexidade'!$D$14,'07_Regras_Complexidade'!$E$14,IF(SUM(N95:Q95)&lt;='07_Regras_Complexidade'!$D$15,'07_Regras_Complexidade'!$E$15,'07_Regras_Complexidade'!$E$16)))))))</x:f>
      </x:c>
      <x:c r="S95"/>
    </x:row>
    <x:row r="96">
      <x:c r="A96"/>
      <x:c r="B96"/>
      <x:c r="C96"/>
      <x:c r="D96"/>
      <x:c r="E96"/>
      <x:c r="F96"/>
      <x:c r="G96"/>
      <x:c r="H96"/>
      <x:c r="I96" s="13" t="str">
        <x:f>IF(B96="","",IF(COUNT(F96:H96)&lt;3,"",SUM(F96:H96)))</x:f>
      </x:c>
      <x:c r="J96"/>
      <x:c r="K96"/>
      <x:c r="L96"/>
      <x:c r="M96"/>
      <x:c r="N96" s="13" t="str">
        <x:f>IF(I96="","",IF(I96&lt;='07_Regras_Complexidade'!$C$21,'07_Regras_Complexidade'!$D$21,IF(I96&lt;='07_Regras_Complexidade'!$C$22,'07_Regras_Complexidade'!$D$22,'07_Regras_Complexidade'!$D$23)))</x:f>
      </x:c>
      <x:c r="O96"/>
      <x:c r="P96"/>
      <x:c r="Q96"/>
      <x:c r="R96" s="13" t="str">
        <x:f>IF(B96="","",IF(OR(C96="Sem movimento",C96="Inativo",C96="Encerrado"),'07_Regras_Complexidade'!$E$11,IF(COUNT(N96:Q96)&lt;4,'07_Regras_Complexidade'!$E$17,IF(SUM(N96:Q96)&lt;='07_Regras_Complexidade'!$D$12,'07_Regras_Complexidade'!$E$12,IF(SUM(N96:Q96)&lt;='07_Regras_Complexidade'!$D$13,'07_Regras_Complexidade'!$E$13,IF(SUM(N96:Q96)&lt;='07_Regras_Complexidade'!$D$14,'07_Regras_Complexidade'!$E$14,IF(SUM(N96:Q96)&lt;='07_Regras_Complexidade'!$D$15,'07_Regras_Complexidade'!$E$15,'07_Regras_Complexidade'!$E$16)))))))</x:f>
      </x:c>
      <x:c r="S96"/>
    </x:row>
    <x:row r="97">
      <x:c r="A97"/>
      <x:c r="B97"/>
      <x:c r="C97"/>
      <x:c r="D97"/>
      <x:c r="E97"/>
      <x:c r="F97"/>
      <x:c r="G97"/>
      <x:c r="H97"/>
      <x:c r="I97" s="13" t="str">
        <x:f>IF(B97="","",IF(COUNT(F97:H97)&lt;3,"",SUM(F97:H97)))</x:f>
      </x:c>
      <x:c r="J97"/>
      <x:c r="K97"/>
      <x:c r="L97"/>
      <x:c r="M97"/>
      <x:c r="N97" s="13" t="str">
        <x:f>IF(I97="","",IF(I97&lt;='07_Regras_Complexidade'!$C$21,'07_Regras_Complexidade'!$D$21,IF(I97&lt;='07_Regras_Complexidade'!$C$22,'07_Regras_Complexidade'!$D$22,'07_Regras_Complexidade'!$D$23)))</x:f>
      </x:c>
      <x:c r="O97"/>
      <x:c r="P97"/>
      <x:c r="Q97"/>
      <x:c r="R97" s="13" t="str">
        <x:f>IF(B97="","",IF(OR(C97="Sem movimento",C97="Inativo",C97="Encerrado"),'07_Regras_Complexidade'!$E$11,IF(COUNT(N97:Q97)&lt;4,'07_Regras_Complexidade'!$E$17,IF(SUM(N97:Q97)&lt;='07_Regras_Complexidade'!$D$12,'07_Regras_Complexidade'!$E$12,IF(SUM(N97:Q97)&lt;='07_Regras_Complexidade'!$D$13,'07_Regras_Complexidade'!$E$13,IF(SUM(N97:Q97)&lt;='07_Regras_Complexidade'!$D$14,'07_Regras_Complexidade'!$E$14,IF(SUM(N97:Q97)&lt;='07_Regras_Complexidade'!$D$15,'07_Regras_Complexidade'!$E$15,'07_Regras_Complexidade'!$E$16)))))))</x:f>
      </x:c>
      <x:c r="S97"/>
    </x:row>
    <x:row r="98">
      <x:c r="A98"/>
      <x:c r="B98"/>
      <x:c r="C98"/>
      <x:c r="D98"/>
      <x:c r="E98"/>
      <x:c r="F98"/>
      <x:c r="G98"/>
      <x:c r="H98"/>
      <x:c r="I98" s="13" t="str">
        <x:f>IF(B98="","",IF(COUNT(F98:H98)&lt;3,"",SUM(F98:H98)))</x:f>
      </x:c>
      <x:c r="J98"/>
      <x:c r="K98"/>
      <x:c r="L98"/>
      <x:c r="M98"/>
      <x:c r="N98" s="13" t="str">
        <x:f>IF(I98="","",IF(I98&lt;='07_Regras_Complexidade'!$C$21,'07_Regras_Complexidade'!$D$21,IF(I98&lt;='07_Regras_Complexidade'!$C$22,'07_Regras_Complexidade'!$D$22,'07_Regras_Complexidade'!$D$23)))</x:f>
      </x:c>
      <x:c r="O98"/>
      <x:c r="P98"/>
      <x:c r="Q98"/>
      <x:c r="R98" s="13" t="str">
        <x:f>IF(B98="","",IF(OR(C98="Sem movimento",C98="Inativo",C98="Encerrado"),'07_Regras_Complexidade'!$E$11,IF(COUNT(N98:Q98)&lt;4,'07_Regras_Complexidade'!$E$17,IF(SUM(N98:Q98)&lt;='07_Regras_Complexidade'!$D$12,'07_Regras_Complexidade'!$E$12,IF(SUM(N98:Q98)&lt;='07_Regras_Complexidade'!$D$13,'07_Regras_Complexidade'!$E$13,IF(SUM(N98:Q98)&lt;='07_Regras_Complexidade'!$D$14,'07_Regras_Complexidade'!$E$14,IF(SUM(N98:Q98)&lt;='07_Regras_Complexidade'!$D$15,'07_Regras_Complexidade'!$E$15,'07_Regras_Complexidade'!$E$16)))))))</x:f>
      </x:c>
      <x:c r="S98"/>
    </x:row>
    <x:row r="99">
      <x:c r="A99"/>
      <x:c r="B99"/>
      <x:c r="C99"/>
      <x:c r="D99"/>
      <x:c r="E99"/>
      <x:c r="F99"/>
      <x:c r="G99"/>
      <x:c r="H99"/>
      <x:c r="I99" s="13" t="str">
        <x:f>IF(B99="","",IF(COUNT(F99:H99)&lt;3,"",SUM(F99:H99)))</x:f>
      </x:c>
      <x:c r="J99"/>
      <x:c r="K99"/>
      <x:c r="L99"/>
      <x:c r="M99"/>
      <x:c r="N99" s="13" t="str">
        <x:f>IF(I99="","",IF(I99&lt;='07_Regras_Complexidade'!$C$21,'07_Regras_Complexidade'!$D$21,IF(I99&lt;='07_Regras_Complexidade'!$C$22,'07_Regras_Complexidade'!$D$22,'07_Regras_Complexidade'!$D$23)))</x:f>
      </x:c>
      <x:c r="O99"/>
      <x:c r="P99"/>
      <x:c r="Q99"/>
      <x:c r="R99" s="13" t="str">
        <x:f>IF(B99="","",IF(OR(C99="Sem movimento",C99="Inativo",C99="Encerrado"),'07_Regras_Complexidade'!$E$11,IF(COUNT(N99:Q99)&lt;4,'07_Regras_Complexidade'!$E$17,IF(SUM(N99:Q99)&lt;='07_Regras_Complexidade'!$D$12,'07_Regras_Complexidade'!$E$12,IF(SUM(N99:Q99)&lt;='07_Regras_Complexidade'!$D$13,'07_Regras_Complexidade'!$E$13,IF(SUM(N99:Q99)&lt;='07_Regras_Complexidade'!$D$14,'07_Regras_Complexidade'!$E$14,IF(SUM(N99:Q99)&lt;='07_Regras_Complexidade'!$D$15,'07_Regras_Complexidade'!$E$15,'07_Regras_Complexidade'!$E$16)))))))</x:f>
      </x:c>
      <x:c r="S99"/>
    </x:row>
    <x:row r="100">
      <x:c r="A100"/>
      <x:c r="B100"/>
      <x:c r="C100"/>
      <x:c r="D100"/>
      <x:c r="E100"/>
      <x:c r="F100"/>
      <x:c r="G100"/>
      <x:c r="H100"/>
      <x:c r="I100" s="13" t="str">
        <x:f>IF(B100="","",IF(COUNT(F100:H100)&lt;3,"",SUM(F100:H100)))</x:f>
      </x:c>
      <x:c r="J100"/>
      <x:c r="K100"/>
      <x:c r="L100"/>
      <x:c r="M100"/>
      <x:c r="N100" s="13" t="str">
        <x:f>IF(I100="","",IF(I100&lt;='07_Regras_Complexidade'!$C$21,'07_Regras_Complexidade'!$D$21,IF(I100&lt;='07_Regras_Complexidade'!$C$22,'07_Regras_Complexidade'!$D$22,'07_Regras_Complexidade'!$D$23)))</x:f>
      </x:c>
      <x:c r="O100"/>
      <x:c r="P100"/>
      <x:c r="Q100"/>
      <x:c r="R100" s="13" t="str">
        <x:f>IF(B100="","",IF(OR(C100="Sem movimento",C100="Inativo",C100="Encerrado"),'07_Regras_Complexidade'!$E$11,IF(COUNT(N100:Q100)&lt;4,'07_Regras_Complexidade'!$E$17,IF(SUM(N100:Q100)&lt;='07_Regras_Complexidade'!$D$12,'07_Regras_Complexidade'!$E$12,IF(SUM(N100:Q100)&lt;='07_Regras_Complexidade'!$D$13,'07_Regras_Complexidade'!$E$13,IF(SUM(N100:Q100)&lt;='07_Regras_Complexidade'!$D$14,'07_Regras_Complexidade'!$E$14,IF(SUM(N100:Q100)&lt;='07_Regras_Complexidade'!$D$15,'07_Regras_Complexidade'!$E$15,'07_Regras_Complexidade'!$E$16)))))))</x:f>
      </x:c>
      <x:c r="S100"/>
    </x:row>
    <x:row r="101">
      <x:c r="A101"/>
      <x:c r="B101"/>
      <x:c r="C101"/>
      <x:c r="D101"/>
      <x:c r="E101"/>
      <x:c r="F101"/>
      <x:c r="G101"/>
      <x:c r="H101"/>
      <x:c r="I101" s="13" t="str">
        <x:f>IF(B101="","",IF(COUNT(F101:H101)&lt;3,"",SUM(F101:H101)))</x:f>
      </x:c>
      <x:c r="J101"/>
      <x:c r="K101"/>
      <x:c r="L101"/>
      <x:c r="M101"/>
      <x:c r="N101" s="13" t="str">
        <x:f>IF(I101="","",IF(I101&lt;='07_Regras_Complexidade'!$C$21,'07_Regras_Complexidade'!$D$21,IF(I101&lt;='07_Regras_Complexidade'!$C$22,'07_Regras_Complexidade'!$D$22,'07_Regras_Complexidade'!$D$23)))</x:f>
      </x:c>
      <x:c r="O101"/>
      <x:c r="P101"/>
      <x:c r="Q101"/>
      <x:c r="R101" s="13" t="str">
        <x:f>IF(B101="","",IF(OR(C101="Sem movimento",C101="Inativo",C101="Encerrado"),'07_Regras_Complexidade'!$E$11,IF(COUNT(N101:Q101)&lt;4,'07_Regras_Complexidade'!$E$17,IF(SUM(N101:Q101)&lt;='07_Regras_Complexidade'!$D$12,'07_Regras_Complexidade'!$E$12,IF(SUM(N101:Q101)&lt;='07_Regras_Complexidade'!$D$13,'07_Regras_Complexidade'!$E$13,IF(SUM(N101:Q101)&lt;='07_Regras_Complexidade'!$D$14,'07_Regras_Complexidade'!$E$14,IF(SUM(N101:Q101)&lt;='07_Regras_Complexidade'!$D$15,'07_Regras_Complexidade'!$E$15,'07_Regras_Complexidade'!$E$16)))))))</x:f>
      </x:c>
      <x:c r="S101"/>
    </x:row>
    <x:row r="102">
      <x:c r="A102"/>
      <x:c r="B102"/>
      <x:c r="C102"/>
      <x:c r="D102"/>
      <x:c r="E102"/>
      <x:c r="F102"/>
      <x:c r="G102"/>
      <x:c r="H102"/>
      <x:c r="I102" s="13" t="str">
        <x:f>IF(B102="","",IF(COUNT(F102:H102)&lt;3,"",SUM(F102:H102)))</x:f>
      </x:c>
      <x:c r="J102"/>
      <x:c r="K102"/>
      <x:c r="L102"/>
      <x:c r="M102"/>
      <x:c r="N102" s="13" t="str">
        <x:f>IF(I102="","",IF(I102&lt;='07_Regras_Complexidade'!$C$21,'07_Regras_Complexidade'!$D$21,IF(I102&lt;='07_Regras_Complexidade'!$C$22,'07_Regras_Complexidade'!$D$22,'07_Regras_Complexidade'!$D$23)))</x:f>
      </x:c>
      <x:c r="O102"/>
      <x:c r="P102"/>
      <x:c r="Q102"/>
      <x:c r="R102" s="13" t="str">
        <x:f>IF(B102="","",IF(OR(C102="Sem movimento",C102="Inativo",C102="Encerrado"),'07_Regras_Complexidade'!$E$11,IF(COUNT(N102:Q102)&lt;4,'07_Regras_Complexidade'!$E$17,IF(SUM(N102:Q102)&lt;='07_Regras_Complexidade'!$D$12,'07_Regras_Complexidade'!$E$12,IF(SUM(N102:Q102)&lt;='07_Regras_Complexidade'!$D$13,'07_Regras_Complexidade'!$E$13,IF(SUM(N102:Q102)&lt;='07_Regras_Complexidade'!$D$14,'07_Regras_Complexidade'!$E$14,IF(SUM(N102:Q102)&lt;='07_Regras_Complexidade'!$D$15,'07_Regras_Complexidade'!$E$15,'07_Regras_Complexidade'!$E$16)))))))</x:f>
      </x:c>
      <x:c r="S102"/>
    </x:row>
    <x:row r="103">
      <x:c r="A103"/>
      <x:c r="B103"/>
      <x:c r="C103"/>
      <x:c r="D103"/>
      <x:c r="E103"/>
      <x:c r="F103"/>
      <x:c r="G103"/>
      <x:c r="H103"/>
      <x:c r="I103" s="13" t="str">
        <x:f>IF(B103="","",IF(COUNT(F103:H103)&lt;3,"",SUM(F103:H103)))</x:f>
      </x:c>
      <x:c r="J103"/>
      <x:c r="K103"/>
      <x:c r="L103"/>
      <x:c r="M103"/>
      <x:c r="N103" s="13" t="str">
        <x:f>IF(I103="","",IF(I103&lt;='07_Regras_Complexidade'!$C$21,'07_Regras_Complexidade'!$D$21,IF(I103&lt;='07_Regras_Complexidade'!$C$22,'07_Regras_Complexidade'!$D$22,'07_Regras_Complexidade'!$D$23)))</x:f>
      </x:c>
      <x:c r="O103"/>
      <x:c r="P103"/>
      <x:c r="Q103"/>
      <x:c r="R103" s="13" t="str">
        <x:f>IF(B103="","",IF(OR(C103="Sem movimento",C103="Inativo",C103="Encerrado"),'07_Regras_Complexidade'!$E$11,IF(COUNT(N103:Q103)&lt;4,'07_Regras_Complexidade'!$E$17,IF(SUM(N103:Q103)&lt;='07_Regras_Complexidade'!$D$12,'07_Regras_Complexidade'!$E$12,IF(SUM(N103:Q103)&lt;='07_Regras_Complexidade'!$D$13,'07_Regras_Complexidade'!$E$13,IF(SUM(N103:Q103)&lt;='07_Regras_Complexidade'!$D$14,'07_Regras_Complexidade'!$E$14,IF(SUM(N103:Q103)&lt;='07_Regras_Complexidade'!$D$15,'07_Regras_Complexidade'!$E$15,'07_Regras_Complexidade'!$E$16)))))))</x:f>
      </x:c>
      <x:c r="S103"/>
    </x:row>
    <x:row r="104">
      <x:c r="A104"/>
      <x:c r="B104"/>
      <x:c r="C104"/>
      <x:c r="D104"/>
      <x:c r="E104"/>
      <x:c r="F104"/>
      <x:c r="G104"/>
      <x:c r="H104"/>
      <x:c r="I104" s="13" t="str">
        <x:f>IF(B104="","",IF(COUNT(F104:H104)&lt;3,"",SUM(F104:H104)))</x:f>
      </x:c>
      <x:c r="J104"/>
      <x:c r="K104"/>
      <x:c r="L104"/>
      <x:c r="M104"/>
      <x:c r="N104" s="13" t="str">
        <x:f>IF(I104="","",IF(I104&lt;='07_Regras_Complexidade'!$C$21,'07_Regras_Complexidade'!$D$21,IF(I104&lt;='07_Regras_Complexidade'!$C$22,'07_Regras_Complexidade'!$D$22,'07_Regras_Complexidade'!$D$23)))</x:f>
      </x:c>
      <x:c r="O104"/>
      <x:c r="P104"/>
      <x:c r="Q104"/>
      <x:c r="R104" s="13" t="str">
        <x:f>IF(B104="","",IF(OR(C104="Sem movimento",C104="Inativo",C104="Encerrado"),'07_Regras_Complexidade'!$E$11,IF(COUNT(N104:Q104)&lt;4,'07_Regras_Complexidade'!$E$17,IF(SUM(N104:Q104)&lt;='07_Regras_Complexidade'!$D$12,'07_Regras_Complexidade'!$E$12,IF(SUM(N104:Q104)&lt;='07_Regras_Complexidade'!$D$13,'07_Regras_Complexidade'!$E$13,IF(SUM(N104:Q104)&lt;='07_Regras_Complexidade'!$D$14,'07_Regras_Complexidade'!$E$14,IF(SUM(N104:Q104)&lt;='07_Regras_Complexidade'!$D$15,'07_Regras_Complexidade'!$E$15,'07_Regras_Complexidade'!$E$16)))))))</x:f>
      </x:c>
      <x:c r="S104"/>
    </x:row>
    <x:row r="105">
      <x:c r="A105"/>
      <x:c r="B105"/>
      <x:c r="C105"/>
      <x:c r="D105"/>
      <x:c r="E105"/>
      <x:c r="F105"/>
      <x:c r="G105"/>
      <x:c r="H105"/>
      <x:c r="I105" s="13" t="str">
        <x:f>IF(B105="","",IF(COUNT(F105:H105)&lt;3,"",SUM(F105:H105)))</x:f>
      </x:c>
      <x:c r="J105"/>
      <x:c r="K105"/>
      <x:c r="L105"/>
      <x:c r="M105"/>
      <x:c r="N105" s="13" t="str">
        <x:f>IF(I105="","",IF(I105&lt;='07_Regras_Complexidade'!$C$21,'07_Regras_Complexidade'!$D$21,IF(I105&lt;='07_Regras_Complexidade'!$C$22,'07_Regras_Complexidade'!$D$22,'07_Regras_Complexidade'!$D$23)))</x:f>
      </x:c>
      <x:c r="O105"/>
      <x:c r="P105"/>
      <x:c r="Q105"/>
      <x:c r="R105" s="13" t="str">
        <x:f>IF(B105="","",IF(OR(C105="Sem movimento",C105="Inativo",C105="Encerrado"),'07_Regras_Complexidade'!$E$11,IF(COUNT(N105:Q105)&lt;4,'07_Regras_Complexidade'!$E$17,IF(SUM(N105:Q105)&lt;='07_Regras_Complexidade'!$D$12,'07_Regras_Complexidade'!$E$12,IF(SUM(N105:Q105)&lt;='07_Regras_Complexidade'!$D$13,'07_Regras_Complexidade'!$E$13,IF(SUM(N105:Q105)&lt;='07_Regras_Complexidade'!$D$14,'07_Regras_Complexidade'!$E$14,IF(SUM(N105:Q105)&lt;='07_Regras_Complexidade'!$D$15,'07_Regras_Complexidade'!$E$15,'07_Regras_Complexidade'!$E$16)))))))</x:f>
      </x:c>
      <x:c r="S105"/>
    </x:row>
    <x:row r="106">
      <x:c r="A106"/>
      <x:c r="B106"/>
      <x:c r="C106"/>
      <x:c r="D106"/>
      <x:c r="E106"/>
      <x:c r="F106"/>
      <x:c r="G106"/>
      <x:c r="H106"/>
      <x:c r="I106" s="13" t="str">
        <x:f>IF(B106="","",IF(COUNT(F106:H106)&lt;3,"",SUM(F106:H106)))</x:f>
      </x:c>
      <x:c r="J106"/>
      <x:c r="K106"/>
      <x:c r="L106"/>
      <x:c r="M106"/>
      <x:c r="N106" s="13" t="str">
        <x:f>IF(I106="","",IF(I106&lt;='07_Regras_Complexidade'!$C$21,'07_Regras_Complexidade'!$D$21,IF(I106&lt;='07_Regras_Complexidade'!$C$22,'07_Regras_Complexidade'!$D$22,'07_Regras_Complexidade'!$D$23)))</x:f>
      </x:c>
      <x:c r="O106"/>
      <x:c r="P106"/>
      <x:c r="Q106"/>
      <x:c r="R106" s="13" t="str">
        <x:f>IF(B106="","",IF(OR(C106="Sem movimento",C106="Inativo",C106="Encerrado"),'07_Regras_Complexidade'!$E$11,IF(COUNT(N106:Q106)&lt;4,'07_Regras_Complexidade'!$E$17,IF(SUM(N106:Q106)&lt;='07_Regras_Complexidade'!$D$12,'07_Regras_Complexidade'!$E$12,IF(SUM(N106:Q106)&lt;='07_Regras_Complexidade'!$D$13,'07_Regras_Complexidade'!$E$13,IF(SUM(N106:Q106)&lt;='07_Regras_Complexidade'!$D$14,'07_Regras_Complexidade'!$E$14,IF(SUM(N106:Q106)&lt;='07_Regras_Complexidade'!$D$15,'07_Regras_Complexidade'!$E$15,'07_Regras_Complexidade'!$E$16)))))))</x:f>
      </x:c>
      <x:c r="S106"/>
    </x:row>
    <x:row r="107">
      <x:c r="A107"/>
      <x:c r="B107"/>
      <x:c r="C107"/>
      <x:c r="D107"/>
      <x:c r="E107"/>
      <x:c r="F107"/>
      <x:c r="G107"/>
      <x:c r="H107"/>
      <x:c r="I107" s="13" t="str">
        <x:f>IF(B107="","",IF(COUNT(F107:H107)&lt;3,"",SUM(F107:H107)))</x:f>
      </x:c>
      <x:c r="J107"/>
      <x:c r="K107"/>
      <x:c r="L107"/>
      <x:c r="M107"/>
      <x:c r="N107" s="13" t="str">
        <x:f>IF(I107="","",IF(I107&lt;='07_Regras_Complexidade'!$C$21,'07_Regras_Complexidade'!$D$21,IF(I107&lt;='07_Regras_Complexidade'!$C$22,'07_Regras_Complexidade'!$D$22,'07_Regras_Complexidade'!$D$23)))</x:f>
      </x:c>
      <x:c r="O107"/>
      <x:c r="P107"/>
      <x:c r="Q107"/>
      <x:c r="R107" s="13" t="str">
        <x:f>IF(B107="","",IF(OR(C107="Sem movimento",C107="Inativo",C107="Encerrado"),'07_Regras_Complexidade'!$E$11,IF(COUNT(N107:Q107)&lt;4,'07_Regras_Complexidade'!$E$17,IF(SUM(N107:Q107)&lt;='07_Regras_Complexidade'!$D$12,'07_Regras_Complexidade'!$E$12,IF(SUM(N107:Q107)&lt;='07_Regras_Complexidade'!$D$13,'07_Regras_Complexidade'!$E$13,IF(SUM(N107:Q107)&lt;='07_Regras_Complexidade'!$D$14,'07_Regras_Complexidade'!$E$14,IF(SUM(N107:Q107)&lt;='07_Regras_Complexidade'!$D$15,'07_Regras_Complexidade'!$E$15,'07_Regras_Complexidade'!$E$16)))))))</x:f>
      </x:c>
      <x:c r="S107"/>
    </x:row>
    <x:row r="108">
      <x:c r="A108"/>
      <x:c r="B108"/>
      <x:c r="C108"/>
      <x:c r="D108"/>
      <x:c r="E108"/>
      <x:c r="F108"/>
      <x:c r="G108"/>
      <x:c r="H108"/>
      <x:c r="I108" s="13" t="str">
        <x:f>IF(B108="","",IF(COUNT(F108:H108)&lt;3,"",SUM(F108:H108)))</x:f>
      </x:c>
      <x:c r="J108"/>
      <x:c r="K108"/>
      <x:c r="L108"/>
      <x:c r="M108"/>
      <x:c r="N108" s="13" t="str">
        <x:f>IF(I108="","",IF(I108&lt;='07_Regras_Complexidade'!$C$21,'07_Regras_Complexidade'!$D$21,IF(I108&lt;='07_Regras_Complexidade'!$C$22,'07_Regras_Complexidade'!$D$22,'07_Regras_Complexidade'!$D$23)))</x:f>
      </x:c>
      <x:c r="O108"/>
      <x:c r="P108"/>
      <x:c r="Q108"/>
      <x:c r="R108" s="13" t="str">
        <x:f>IF(B108="","",IF(OR(C108="Sem movimento",C108="Inativo",C108="Encerrado"),'07_Regras_Complexidade'!$E$11,IF(COUNT(N108:Q108)&lt;4,'07_Regras_Complexidade'!$E$17,IF(SUM(N108:Q108)&lt;='07_Regras_Complexidade'!$D$12,'07_Regras_Complexidade'!$E$12,IF(SUM(N108:Q108)&lt;='07_Regras_Complexidade'!$D$13,'07_Regras_Complexidade'!$E$13,IF(SUM(N108:Q108)&lt;='07_Regras_Complexidade'!$D$14,'07_Regras_Complexidade'!$E$14,IF(SUM(N108:Q108)&lt;='07_Regras_Complexidade'!$D$15,'07_Regras_Complexidade'!$E$15,'07_Regras_Complexidade'!$E$16)))))))</x:f>
      </x:c>
      <x:c r="S108"/>
    </x:row>
    <x:row r="109">
      <x:c r="A109"/>
      <x:c r="B109"/>
      <x:c r="C109"/>
      <x:c r="D109"/>
      <x:c r="E109"/>
      <x:c r="F109"/>
      <x:c r="G109"/>
      <x:c r="H109"/>
      <x:c r="I109" s="13" t="str">
        <x:f>IF(B109="","",IF(COUNT(F109:H109)&lt;3,"",SUM(F109:H109)))</x:f>
      </x:c>
      <x:c r="J109"/>
      <x:c r="K109"/>
      <x:c r="L109"/>
      <x:c r="M109"/>
      <x:c r="N109" s="13" t="str">
        <x:f>IF(I109="","",IF(I109&lt;='07_Regras_Complexidade'!$C$21,'07_Regras_Complexidade'!$D$21,IF(I109&lt;='07_Regras_Complexidade'!$C$22,'07_Regras_Complexidade'!$D$22,'07_Regras_Complexidade'!$D$23)))</x:f>
      </x:c>
      <x:c r="O109"/>
      <x:c r="P109"/>
      <x:c r="Q109"/>
      <x:c r="R109" s="13" t="str">
        <x:f>IF(B109="","",IF(OR(C109="Sem movimento",C109="Inativo",C109="Encerrado"),'07_Regras_Complexidade'!$E$11,IF(COUNT(N109:Q109)&lt;4,'07_Regras_Complexidade'!$E$17,IF(SUM(N109:Q109)&lt;='07_Regras_Complexidade'!$D$12,'07_Regras_Complexidade'!$E$12,IF(SUM(N109:Q109)&lt;='07_Regras_Complexidade'!$D$13,'07_Regras_Complexidade'!$E$13,IF(SUM(N109:Q109)&lt;='07_Regras_Complexidade'!$D$14,'07_Regras_Complexidade'!$E$14,IF(SUM(N109:Q109)&lt;='07_Regras_Complexidade'!$D$15,'07_Regras_Complexidade'!$E$15,'07_Regras_Complexidade'!$E$16)))))))</x:f>
      </x:c>
      <x:c r="S109"/>
    </x:row>
    <x:row r="110">
      <x:c r="A110"/>
      <x:c r="B110"/>
      <x:c r="C110"/>
      <x:c r="D110"/>
      <x:c r="E110"/>
      <x:c r="F110"/>
      <x:c r="G110"/>
      <x:c r="H110"/>
      <x:c r="I110" s="13" t="str">
        <x:f>IF(B110="","",IF(COUNT(F110:H110)&lt;3,"",SUM(F110:H110)))</x:f>
      </x:c>
      <x:c r="J110"/>
      <x:c r="K110"/>
      <x:c r="L110"/>
      <x:c r="M110"/>
      <x:c r="N110" s="13" t="str">
        <x:f>IF(I110="","",IF(I110&lt;='07_Regras_Complexidade'!$C$21,'07_Regras_Complexidade'!$D$21,IF(I110&lt;='07_Regras_Complexidade'!$C$22,'07_Regras_Complexidade'!$D$22,'07_Regras_Complexidade'!$D$23)))</x:f>
      </x:c>
      <x:c r="O110"/>
      <x:c r="P110"/>
      <x:c r="Q110"/>
      <x:c r="R110" s="13" t="str">
        <x:f>IF(B110="","",IF(OR(C110="Sem movimento",C110="Inativo",C110="Encerrado"),'07_Regras_Complexidade'!$E$11,IF(COUNT(N110:Q110)&lt;4,'07_Regras_Complexidade'!$E$17,IF(SUM(N110:Q110)&lt;='07_Regras_Complexidade'!$D$12,'07_Regras_Complexidade'!$E$12,IF(SUM(N110:Q110)&lt;='07_Regras_Complexidade'!$D$13,'07_Regras_Complexidade'!$E$13,IF(SUM(N110:Q110)&lt;='07_Regras_Complexidade'!$D$14,'07_Regras_Complexidade'!$E$14,IF(SUM(N110:Q110)&lt;='07_Regras_Complexidade'!$D$15,'07_Regras_Complexidade'!$E$15,'07_Regras_Complexidade'!$E$16)))))))</x:f>
      </x:c>
      <x:c r="S110"/>
    </x:row>
    <x:row r="111">
      <x:c r="A111"/>
      <x:c r="B111"/>
      <x:c r="C111"/>
      <x:c r="D111"/>
      <x:c r="E111"/>
      <x:c r="F111"/>
      <x:c r="G111"/>
      <x:c r="H111"/>
      <x:c r="I111" s="13" t="str">
        <x:f>IF(B111="","",IF(COUNT(F111:H111)&lt;3,"",SUM(F111:H111)))</x:f>
      </x:c>
      <x:c r="J111"/>
      <x:c r="K111"/>
      <x:c r="L111"/>
      <x:c r="M111"/>
      <x:c r="N111" s="13" t="str">
        <x:f>IF(I111="","",IF(I111&lt;='07_Regras_Complexidade'!$C$21,'07_Regras_Complexidade'!$D$21,IF(I111&lt;='07_Regras_Complexidade'!$C$22,'07_Regras_Complexidade'!$D$22,'07_Regras_Complexidade'!$D$23)))</x:f>
      </x:c>
      <x:c r="O111"/>
      <x:c r="P111"/>
      <x:c r="Q111"/>
      <x:c r="R111" s="13" t="str">
        <x:f>IF(B111="","",IF(OR(C111="Sem movimento",C111="Inativo",C111="Encerrado"),'07_Regras_Complexidade'!$E$11,IF(COUNT(N111:Q111)&lt;4,'07_Regras_Complexidade'!$E$17,IF(SUM(N111:Q111)&lt;='07_Regras_Complexidade'!$D$12,'07_Regras_Complexidade'!$E$12,IF(SUM(N111:Q111)&lt;='07_Regras_Complexidade'!$D$13,'07_Regras_Complexidade'!$E$13,IF(SUM(N111:Q111)&lt;='07_Regras_Complexidade'!$D$14,'07_Regras_Complexidade'!$E$14,IF(SUM(N111:Q111)&lt;='07_Regras_Complexidade'!$D$15,'07_Regras_Complexidade'!$E$15,'07_Regras_Complexidade'!$E$16)))))))</x:f>
      </x:c>
      <x:c r="S111"/>
    </x:row>
    <x:row r="112">
      <x:c r="A112"/>
      <x:c r="B112"/>
      <x:c r="C112"/>
      <x:c r="D112"/>
      <x:c r="E112"/>
      <x:c r="F112"/>
      <x:c r="G112"/>
      <x:c r="H112"/>
      <x:c r="I112" s="13" t="str">
        <x:f>IF(B112="","",IF(COUNT(F112:H112)&lt;3,"",SUM(F112:H112)))</x:f>
      </x:c>
      <x:c r="J112"/>
      <x:c r="K112"/>
      <x:c r="L112"/>
      <x:c r="M112"/>
      <x:c r="N112" s="13" t="str">
        <x:f>IF(I112="","",IF(I112&lt;='07_Regras_Complexidade'!$C$21,'07_Regras_Complexidade'!$D$21,IF(I112&lt;='07_Regras_Complexidade'!$C$22,'07_Regras_Complexidade'!$D$22,'07_Regras_Complexidade'!$D$23)))</x:f>
      </x:c>
      <x:c r="O112"/>
      <x:c r="P112"/>
      <x:c r="Q112"/>
      <x:c r="R112" s="13" t="str">
        <x:f>IF(B112="","",IF(OR(C112="Sem movimento",C112="Inativo",C112="Encerrado"),'07_Regras_Complexidade'!$E$11,IF(COUNT(N112:Q112)&lt;4,'07_Regras_Complexidade'!$E$17,IF(SUM(N112:Q112)&lt;='07_Regras_Complexidade'!$D$12,'07_Regras_Complexidade'!$E$12,IF(SUM(N112:Q112)&lt;='07_Regras_Complexidade'!$D$13,'07_Regras_Complexidade'!$E$13,IF(SUM(N112:Q112)&lt;='07_Regras_Complexidade'!$D$14,'07_Regras_Complexidade'!$E$14,IF(SUM(N112:Q112)&lt;='07_Regras_Complexidade'!$D$15,'07_Regras_Complexidade'!$E$15,'07_Regras_Complexidade'!$E$16)))))))</x:f>
      </x:c>
      <x:c r="S112"/>
    </x:row>
    <x:row r="113">
      <x:c r="A113"/>
      <x:c r="B113"/>
      <x:c r="C113"/>
      <x:c r="D113"/>
      <x:c r="E113"/>
      <x:c r="F113"/>
      <x:c r="G113"/>
      <x:c r="H113"/>
      <x:c r="I113" s="13" t="str">
        <x:f>IF(B113="","",IF(COUNT(F113:H113)&lt;3,"",SUM(F113:H113)))</x:f>
      </x:c>
      <x:c r="J113"/>
      <x:c r="K113"/>
      <x:c r="L113"/>
      <x:c r="M113"/>
      <x:c r="N113" s="13" t="str">
        <x:f>IF(I113="","",IF(I113&lt;='07_Regras_Complexidade'!$C$21,'07_Regras_Complexidade'!$D$21,IF(I113&lt;='07_Regras_Complexidade'!$C$22,'07_Regras_Complexidade'!$D$22,'07_Regras_Complexidade'!$D$23)))</x:f>
      </x:c>
      <x:c r="O113"/>
      <x:c r="P113"/>
      <x:c r="Q113"/>
      <x:c r="R113" s="13" t="str">
        <x:f>IF(B113="","",IF(OR(C113="Sem movimento",C113="Inativo",C113="Encerrado"),'07_Regras_Complexidade'!$E$11,IF(COUNT(N113:Q113)&lt;4,'07_Regras_Complexidade'!$E$17,IF(SUM(N113:Q113)&lt;='07_Regras_Complexidade'!$D$12,'07_Regras_Complexidade'!$E$12,IF(SUM(N113:Q113)&lt;='07_Regras_Complexidade'!$D$13,'07_Regras_Complexidade'!$E$13,IF(SUM(N113:Q113)&lt;='07_Regras_Complexidade'!$D$14,'07_Regras_Complexidade'!$E$14,IF(SUM(N113:Q113)&lt;='07_Regras_Complexidade'!$D$15,'07_Regras_Complexidade'!$E$15,'07_Regras_Complexidade'!$E$16)))))))</x:f>
      </x:c>
      <x:c r="S113"/>
    </x:row>
    <x:row r="114">
      <x:c r="A114"/>
      <x:c r="B114"/>
      <x:c r="C114"/>
      <x:c r="D114"/>
      <x:c r="E114"/>
      <x:c r="F114"/>
      <x:c r="G114"/>
      <x:c r="H114"/>
      <x:c r="I114" s="13" t="str">
        <x:f>IF(B114="","",IF(COUNT(F114:H114)&lt;3,"",SUM(F114:H114)))</x:f>
      </x:c>
      <x:c r="J114"/>
      <x:c r="K114"/>
      <x:c r="L114"/>
      <x:c r="M114"/>
      <x:c r="N114" s="13" t="str">
        <x:f>IF(I114="","",IF(I114&lt;='07_Regras_Complexidade'!$C$21,'07_Regras_Complexidade'!$D$21,IF(I114&lt;='07_Regras_Complexidade'!$C$22,'07_Regras_Complexidade'!$D$22,'07_Regras_Complexidade'!$D$23)))</x:f>
      </x:c>
      <x:c r="O114"/>
      <x:c r="P114"/>
      <x:c r="Q114"/>
      <x:c r="R114" s="13" t="str">
        <x:f>IF(B114="","",IF(OR(C114="Sem movimento",C114="Inativo",C114="Encerrado"),'07_Regras_Complexidade'!$E$11,IF(COUNT(N114:Q114)&lt;4,'07_Regras_Complexidade'!$E$17,IF(SUM(N114:Q114)&lt;='07_Regras_Complexidade'!$D$12,'07_Regras_Complexidade'!$E$12,IF(SUM(N114:Q114)&lt;='07_Regras_Complexidade'!$D$13,'07_Regras_Complexidade'!$E$13,IF(SUM(N114:Q114)&lt;='07_Regras_Complexidade'!$D$14,'07_Regras_Complexidade'!$E$14,IF(SUM(N114:Q114)&lt;='07_Regras_Complexidade'!$D$15,'07_Regras_Complexidade'!$E$15,'07_Regras_Complexidade'!$E$16)))))))</x:f>
      </x:c>
      <x:c r="S114"/>
    </x:row>
    <x:row r="115">
      <x:c r="A115"/>
      <x:c r="B115"/>
      <x:c r="C115"/>
      <x:c r="D115"/>
      <x:c r="E115"/>
      <x:c r="F115"/>
      <x:c r="G115"/>
      <x:c r="H115"/>
      <x:c r="I115" s="13" t="str">
        <x:f>IF(B115="","",IF(COUNT(F115:H115)&lt;3,"",SUM(F115:H115)))</x:f>
      </x:c>
      <x:c r="J115"/>
      <x:c r="K115"/>
      <x:c r="L115"/>
      <x:c r="M115"/>
      <x:c r="N115" s="13" t="str">
        <x:f>IF(I115="","",IF(I115&lt;='07_Regras_Complexidade'!$C$21,'07_Regras_Complexidade'!$D$21,IF(I115&lt;='07_Regras_Complexidade'!$C$22,'07_Regras_Complexidade'!$D$22,'07_Regras_Complexidade'!$D$23)))</x:f>
      </x:c>
      <x:c r="O115"/>
      <x:c r="P115"/>
      <x:c r="Q115"/>
      <x:c r="R115" s="13" t="str">
        <x:f>IF(B115="","",IF(OR(C115="Sem movimento",C115="Inativo",C115="Encerrado"),'07_Regras_Complexidade'!$E$11,IF(COUNT(N115:Q115)&lt;4,'07_Regras_Complexidade'!$E$17,IF(SUM(N115:Q115)&lt;='07_Regras_Complexidade'!$D$12,'07_Regras_Complexidade'!$E$12,IF(SUM(N115:Q115)&lt;='07_Regras_Complexidade'!$D$13,'07_Regras_Complexidade'!$E$13,IF(SUM(N115:Q115)&lt;='07_Regras_Complexidade'!$D$14,'07_Regras_Complexidade'!$E$14,IF(SUM(N115:Q115)&lt;='07_Regras_Complexidade'!$D$15,'07_Regras_Complexidade'!$E$15,'07_Regras_Complexidade'!$E$16)))))))</x:f>
      </x:c>
      <x:c r="S115"/>
    </x:row>
    <x:row r="116">
      <x:c r="A116"/>
      <x:c r="B116"/>
      <x:c r="C116"/>
      <x:c r="D116"/>
      <x:c r="E116"/>
      <x:c r="F116"/>
      <x:c r="G116"/>
      <x:c r="H116"/>
      <x:c r="I116" s="13" t="str">
        <x:f>IF(B116="","",IF(COUNT(F116:H116)&lt;3,"",SUM(F116:H116)))</x:f>
      </x:c>
      <x:c r="J116"/>
      <x:c r="K116"/>
      <x:c r="L116"/>
      <x:c r="M116"/>
      <x:c r="N116" s="13" t="str">
        <x:f>IF(I116="","",IF(I116&lt;='07_Regras_Complexidade'!$C$21,'07_Regras_Complexidade'!$D$21,IF(I116&lt;='07_Regras_Complexidade'!$C$22,'07_Regras_Complexidade'!$D$22,'07_Regras_Complexidade'!$D$23)))</x:f>
      </x:c>
      <x:c r="O116"/>
      <x:c r="P116"/>
      <x:c r="Q116"/>
      <x:c r="R116" s="13" t="str">
        <x:f>IF(B116="","",IF(OR(C116="Sem movimento",C116="Inativo",C116="Encerrado"),'07_Regras_Complexidade'!$E$11,IF(COUNT(N116:Q116)&lt;4,'07_Regras_Complexidade'!$E$17,IF(SUM(N116:Q116)&lt;='07_Regras_Complexidade'!$D$12,'07_Regras_Complexidade'!$E$12,IF(SUM(N116:Q116)&lt;='07_Regras_Complexidade'!$D$13,'07_Regras_Complexidade'!$E$13,IF(SUM(N116:Q116)&lt;='07_Regras_Complexidade'!$D$14,'07_Regras_Complexidade'!$E$14,IF(SUM(N116:Q116)&lt;='07_Regras_Complexidade'!$D$15,'07_Regras_Complexidade'!$E$15,'07_Regras_Complexidade'!$E$16)))))))</x:f>
      </x:c>
      <x:c r="S116"/>
    </x:row>
    <x:row r="117">
      <x:c r="A117"/>
      <x:c r="B117"/>
      <x:c r="C117"/>
      <x:c r="D117"/>
      <x:c r="E117"/>
      <x:c r="F117"/>
      <x:c r="G117"/>
      <x:c r="H117"/>
      <x:c r="I117" s="13" t="str">
        <x:f>IF(B117="","",IF(COUNT(F117:H117)&lt;3,"",SUM(F117:H117)))</x:f>
      </x:c>
      <x:c r="J117"/>
      <x:c r="K117"/>
      <x:c r="L117"/>
      <x:c r="M117"/>
      <x:c r="N117" s="13" t="str">
        <x:f>IF(I117="","",IF(I117&lt;='07_Regras_Complexidade'!$C$21,'07_Regras_Complexidade'!$D$21,IF(I117&lt;='07_Regras_Complexidade'!$C$22,'07_Regras_Complexidade'!$D$22,'07_Regras_Complexidade'!$D$23)))</x:f>
      </x:c>
      <x:c r="O117"/>
      <x:c r="P117"/>
      <x:c r="Q117"/>
      <x:c r="R117" s="13" t="str">
        <x:f>IF(B117="","",IF(OR(C117="Sem movimento",C117="Inativo",C117="Encerrado"),'07_Regras_Complexidade'!$E$11,IF(COUNT(N117:Q117)&lt;4,'07_Regras_Complexidade'!$E$17,IF(SUM(N117:Q117)&lt;='07_Regras_Complexidade'!$D$12,'07_Regras_Complexidade'!$E$12,IF(SUM(N117:Q117)&lt;='07_Regras_Complexidade'!$D$13,'07_Regras_Complexidade'!$E$13,IF(SUM(N117:Q117)&lt;='07_Regras_Complexidade'!$D$14,'07_Regras_Complexidade'!$E$14,IF(SUM(N117:Q117)&lt;='07_Regras_Complexidade'!$D$15,'07_Regras_Complexidade'!$E$15,'07_Regras_Complexidade'!$E$16)))))))</x:f>
      </x:c>
      <x:c r="S117"/>
    </x:row>
    <x:row r="118">
      <x:c r="A118"/>
      <x:c r="B118"/>
      <x:c r="C118"/>
      <x:c r="D118"/>
      <x:c r="E118"/>
      <x:c r="F118"/>
      <x:c r="G118"/>
      <x:c r="H118"/>
      <x:c r="I118" s="13" t="str">
        <x:f>IF(B118="","",IF(COUNT(F118:H118)&lt;3,"",SUM(F118:H118)))</x:f>
      </x:c>
      <x:c r="J118"/>
      <x:c r="K118"/>
      <x:c r="L118"/>
      <x:c r="M118"/>
      <x:c r="N118" s="13" t="str">
        <x:f>IF(I118="","",IF(I118&lt;='07_Regras_Complexidade'!$C$21,'07_Regras_Complexidade'!$D$21,IF(I118&lt;='07_Regras_Complexidade'!$C$22,'07_Regras_Complexidade'!$D$22,'07_Regras_Complexidade'!$D$23)))</x:f>
      </x:c>
      <x:c r="O118"/>
      <x:c r="P118"/>
      <x:c r="Q118"/>
      <x:c r="R118" s="13" t="str">
        <x:f>IF(B118="","",IF(OR(C118="Sem movimento",C118="Inativo",C118="Encerrado"),'07_Regras_Complexidade'!$E$11,IF(COUNT(N118:Q118)&lt;4,'07_Regras_Complexidade'!$E$17,IF(SUM(N118:Q118)&lt;='07_Regras_Complexidade'!$D$12,'07_Regras_Complexidade'!$E$12,IF(SUM(N118:Q118)&lt;='07_Regras_Complexidade'!$D$13,'07_Regras_Complexidade'!$E$13,IF(SUM(N118:Q118)&lt;='07_Regras_Complexidade'!$D$14,'07_Regras_Complexidade'!$E$14,IF(SUM(N118:Q118)&lt;='07_Regras_Complexidade'!$D$15,'07_Regras_Complexidade'!$E$15,'07_Regras_Complexidade'!$E$16)))))))</x:f>
      </x:c>
      <x:c r="S118"/>
    </x:row>
    <x:row r="119">
      <x:c r="A119"/>
      <x:c r="B119"/>
      <x:c r="C119"/>
      <x:c r="D119"/>
      <x:c r="E119"/>
      <x:c r="F119"/>
      <x:c r="G119"/>
      <x:c r="H119"/>
      <x:c r="I119" s="13" t="str">
        <x:f>IF(B119="","",IF(COUNT(F119:H119)&lt;3,"",SUM(F119:H119)))</x:f>
      </x:c>
      <x:c r="J119"/>
      <x:c r="K119"/>
      <x:c r="L119"/>
      <x:c r="M119"/>
      <x:c r="N119" s="13" t="str">
        <x:f>IF(I119="","",IF(I119&lt;='07_Regras_Complexidade'!$C$21,'07_Regras_Complexidade'!$D$21,IF(I119&lt;='07_Regras_Complexidade'!$C$22,'07_Regras_Complexidade'!$D$22,'07_Regras_Complexidade'!$D$23)))</x:f>
      </x:c>
      <x:c r="O119"/>
      <x:c r="P119"/>
      <x:c r="Q119"/>
      <x:c r="R119" s="13" t="str">
        <x:f>IF(B119="","",IF(OR(C119="Sem movimento",C119="Inativo",C119="Encerrado"),'07_Regras_Complexidade'!$E$11,IF(COUNT(N119:Q119)&lt;4,'07_Regras_Complexidade'!$E$17,IF(SUM(N119:Q119)&lt;='07_Regras_Complexidade'!$D$12,'07_Regras_Complexidade'!$E$12,IF(SUM(N119:Q119)&lt;='07_Regras_Complexidade'!$D$13,'07_Regras_Complexidade'!$E$13,IF(SUM(N119:Q119)&lt;='07_Regras_Complexidade'!$D$14,'07_Regras_Complexidade'!$E$14,IF(SUM(N119:Q119)&lt;='07_Regras_Complexidade'!$D$15,'07_Regras_Complexidade'!$E$15,'07_Regras_Complexidade'!$E$16)))))))</x:f>
      </x:c>
      <x:c r="S119"/>
    </x:row>
    <x:row r="120">
      <x:c r="A120"/>
      <x:c r="B120"/>
      <x:c r="C120"/>
      <x:c r="D120"/>
      <x:c r="E120"/>
      <x:c r="F120"/>
      <x:c r="G120"/>
      <x:c r="H120"/>
      <x:c r="I120" s="13" t="str">
        <x:f>IF(B120="","",IF(COUNT(F120:H120)&lt;3,"",SUM(F120:H120)))</x:f>
      </x:c>
      <x:c r="J120"/>
      <x:c r="K120"/>
      <x:c r="L120"/>
      <x:c r="M120"/>
      <x:c r="N120" s="13" t="str">
        <x:f>IF(I120="","",IF(I120&lt;='07_Regras_Complexidade'!$C$21,'07_Regras_Complexidade'!$D$21,IF(I120&lt;='07_Regras_Complexidade'!$C$22,'07_Regras_Complexidade'!$D$22,'07_Regras_Complexidade'!$D$23)))</x:f>
      </x:c>
      <x:c r="O120"/>
      <x:c r="P120"/>
      <x:c r="Q120"/>
      <x:c r="R120" s="13" t="str">
        <x:f>IF(B120="","",IF(OR(C120="Sem movimento",C120="Inativo",C120="Encerrado"),'07_Regras_Complexidade'!$E$11,IF(COUNT(N120:Q120)&lt;4,'07_Regras_Complexidade'!$E$17,IF(SUM(N120:Q120)&lt;='07_Regras_Complexidade'!$D$12,'07_Regras_Complexidade'!$E$12,IF(SUM(N120:Q120)&lt;='07_Regras_Complexidade'!$D$13,'07_Regras_Complexidade'!$E$13,IF(SUM(N120:Q120)&lt;='07_Regras_Complexidade'!$D$14,'07_Regras_Complexidade'!$E$14,IF(SUM(N120:Q120)&lt;='07_Regras_Complexidade'!$D$15,'07_Regras_Complexidade'!$E$15,'07_Regras_Complexidade'!$E$16)))))))</x:f>
      </x:c>
      <x:c r="S120"/>
    </x:row>
    <x:row r="121">
      <x:c r="A121"/>
      <x:c r="B121"/>
      <x:c r="C121"/>
      <x:c r="D121"/>
      <x:c r="E121"/>
      <x:c r="F121"/>
      <x:c r="G121"/>
      <x:c r="H121"/>
      <x:c r="I121" s="13" t="str">
        <x:f>IF(B121="","",IF(COUNT(F121:H121)&lt;3,"",SUM(F121:H121)))</x:f>
      </x:c>
      <x:c r="J121"/>
      <x:c r="K121"/>
      <x:c r="L121"/>
      <x:c r="M121"/>
      <x:c r="N121" s="13" t="str">
        <x:f>IF(I121="","",IF(I121&lt;='07_Regras_Complexidade'!$C$21,'07_Regras_Complexidade'!$D$21,IF(I121&lt;='07_Regras_Complexidade'!$C$22,'07_Regras_Complexidade'!$D$22,'07_Regras_Complexidade'!$D$23)))</x:f>
      </x:c>
      <x:c r="O121"/>
      <x:c r="P121"/>
      <x:c r="Q121"/>
      <x:c r="R121" s="13" t="str">
        <x:f>IF(B121="","",IF(OR(C121="Sem movimento",C121="Inativo",C121="Encerrado"),'07_Regras_Complexidade'!$E$11,IF(COUNT(N121:Q121)&lt;4,'07_Regras_Complexidade'!$E$17,IF(SUM(N121:Q121)&lt;='07_Regras_Complexidade'!$D$12,'07_Regras_Complexidade'!$E$12,IF(SUM(N121:Q121)&lt;='07_Regras_Complexidade'!$D$13,'07_Regras_Complexidade'!$E$13,IF(SUM(N121:Q121)&lt;='07_Regras_Complexidade'!$D$14,'07_Regras_Complexidade'!$E$14,IF(SUM(N121:Q121)&lt;='07_Regras_Complexidade'!$D$15,'07_Regras_Complexidade'!$E$15,'07_Regras_Complexidade'!$E$16)))))))</x:f>
      </x:c>
      <x:c r="S121"/>
    </x:row>
    <x:row r="122">
      <x:c r="A122"/>
      <x:c r="B122"/>
      <x:c r="C122"/>
      <x:c r="D122"/>
      <x:c r="E122"/>
      <x:c r="F122"/>
      <x:c r="G122"/>
      <x:c r="H122"/>
      <x:c r="I122" s="13" t="str">
        <x:f>IF(B122="","",IF(COUNT(F122:H122)&lt;3,"",SUM(F122:H122)))</x:f>
      </x:c>
      <x:c r="J122"/>
      <x:c r="K122"/>
      <x:c r="L122"/>
      <x:c r="M122"/>
      <x:c r="N122" s="13" t="str">
        <x:f>IF(I122="","",IF(I122&lt;='07_Regras_Complexidade'!$C$21,'07_Regras_Complexidade'!$D$21,IF(I122&lt;='07_Regras_Complexidade'!$C$22,'07_Regras_Complexidade'!$D$22,'07_Regras_Complexidade'!$D$23)))</x:f>
      </x:c>
      <x:c r="O122"/>
      <x:c r="P122"/>
      <x:c r="Q122"/>
      <x:c r="R122" s="13" t="str">
        <x:f>IF(B122="","",IF(OR(C122="Sem movimento",C122="Inativo",C122="Encerrado"),'07_Regras_Complexidade'!$E$11,IF(COUNT(N122:Q122)&lt;4,'07_Regras_Complexidade'!$E$17,IF(SUM(N122:Q122)&lt;='07_Regras_Complexidade'!$D$12,'07_Regras_Complexidade'!$E$12,IF(SUM(N122:Q122)&lt;='07_Regras_Complexidade'!$D$13,'07_Regras_Complexidade'!$E$13,IF(SUM(N122:Q122)&lt;='07_Regras_Complexidade'!$D$14,'07_Regras_Complexidade'!$E$14,IF(SUM(N122:Q122)&lt;='07_Regras_Complexidade'!$D$15,'07_Regras_Complexidade'!$E$15,'07_Regras_Complexidade'!$E$16)))))))</x:f>
      </x:c>
      <x:c r="S122"/>
    </x:row>
    <x:row r="123">
      <x:c r="A123"/>
      <x:c r="B123"/>
      <x:c r="C123"/>
      <x:c r="D123"/>
      <x:c r="E123"/>
      <x:c r="F123"/>
      <x:c r="G123"/>
      <x:c r="H123"/>
      <x:c r="I123" s="13" t="str">
        <x:f>IF(B123="","",IF(COUNT(F123:H123)&lt;3,"",SUM(F123:H123)))</x:f>
      </x:c>
      <x:c r="J123"/>
      <x:c r="K123"/>
      <x:c r="L123"/>
      <x:c r="M123"/>
      <x:c r="N123" s="13" t="str">
        <x:f>IF(I123="","",IF(I123&lt;='07_Regras_Complexidade'!$C$21,'07_Regras_Complexidade'!$D$21,IF(I123&lt;='07_Regras_Complexidade'!$C$22,'07_Regras_Complexidade'!$D$22,'07_Regras_Complexidade'!$D$23)))</x:f>
      </x:c>
      <x:c r="O123"/>
      <x:c r="P123"/>
      <x:c r="Q123"/>
      <x:c r="R123" s="13" t="str">
        <x:f>IF(B123="","",IF(OR(C123="Sem movimento",C123="Inativo",C123="Encerrado"),'07_Regras_Complexidade'!$E$11,IF(COUNT(N123:Q123)&lt;4,'07_Regras_Complexidade'!$E$17,IF(SUM(N123:Q123)&lt;='07_Regras_Complexidade'!$D$12,'07_Regras_Complexidade'!$E$12,IF(SUM(N123:Q123)&lt;='07_Regras_Complexidade'!$D$13,'07_Regras_Complexidade'!$E$13,IF(SUM(N123:Q123)&lt;='07_Regras_Complexidade'!$D$14,'07_Regras_Complexidade'!$E$14,IF(SUM(N123:Q123)&lt;='07_Regras_Complexidade'!$D$15,'07_Regras_Complexidade'!$E$15,'07_Regras_Complexidade'!$E$16)))))))</x:f>
      </x:c>
      <x:c r="S123"/>
    </x:row>
    <x:row r="124">
      <x:c r="A124"/>
      <x:c r="B124"/>
      <x:c r="C124"/>
      <x:c r="D124"/>
      <x:c r="E124"/>
      <x:c r="F124"/>
      <x:c r="G124"/>
      <x:c r="H124"/>
      <x:c r="I124" s="13" t="str">
        <x:f>IF(B124="","",IF(COUNT(F124:H124)&lt;3,"",SUM(F124:H124)))</x:f>
      </x:c>
      <x:c r="J124"/>
      <x:c r="K124"/>
      <x:c r="L124"/>
      <x:c r="M124"/>
      <x:c r="N124" s="13" t="str">
        <x:f>IF(I124="","",IF(I124&lt;='07_Regras_Complexidade'!$C$21,'07_Regras_Complexidade'!$D$21,IF(I124&lt;='07_Regras_Complexidade'!$C$22,'07_Regras_Complexidade'!$D$22,'07_Regras_Complexidade'!$D$23)))</x:f>
      </x:c>
      <x:c r="O124"/>
      <x:c r="P124"/>
      <x:c r="Q124"/>
      <x:c r="R124" s="13" t="str">
        <x:f>IF(B124="","",IF(OR(C124="Sem movimento",C124="Inativo",C124="Encerrado"),'07_Regras_Complexidade'!$E$11,IF(COUNT(N124:Q124)&lt;4,'07_Regras_Complexidade'!$E$17,IF(SUM(N124:Q124)&lt;='07_Regras_Complexidade'!$D$12,'07_Regras_Complexidade'!$E$12,IF(SUM(N124:Q124)&lt;='07_Regras_Complexidade'!$D$13,'07_Regras_Complexidade'!$E$13,IF(SUM(N124:Q124)&lt;='07_Regras_Complexidade'!$D$14,'07_Regras_Complexidade'!$E$14,IF(SUM(N124:Q124)&lt;='07_Regras_Complexidade'!$D$15,'07_Regras_Complexidade'!$E$15,'07_Regras_Complexidade'!$E$16)))))))</x:f>
      </x:c>
      <x:c r="S124"/>
    </x:row>
    <x:row r="125">
      <x:c r="A125"/>
      <x:c r="B125"/>
      <x:c r="C125"/>
      <x:c r="D125"/>
      <x:c r="E125"/>
      <x:c r="F125"/>
      <x:c r="G125"/>
      <x:c r="H125"/>
      <x:c r="I125" s="13" t="str">
        <x:f>IF(B125="","",IF(COUNT(F125:H125)&lt;3,"",SUM(F125:H125)))</x:f>
      </x:c>
      <x:c r="J125"/>
      <x:c r="K125"/>
      <x:c r="L125"/>
      <x:c r="M125"/>
      <x:c r="N125" s="13" t="str">
        <x:f>IF(I125="","",IF(I125&lt;='07_Regras_Complexidade'!$C$21,'07_Regras_Complexidade'!$D$21,IF(I125&lt;='07_Regras_Complexidade'!$C$22,'07_Regras_Complexidade'!$D$22,'07_Regras_Complexidade'!$D$23)))</x:f>
      </x:c>
      <x:c r="O125"/>
      <x:c r="P125"/>
      <x:c r="Q125"/>
      <x:c r="R125" s="13" t="str">
        <x:f>IF(B125="","",IF(OR(C125="Sem movimento",C125="Inativo",C125="Encerrado"),'07_Regras_Complexidade'!$E$11,IF(COUNT(N125:Q125)&lt;4,'07_Regras_Complexidade'!$E$17,IF(SUM(N125:Q125)&lt;='07_Regras_Complexidade'!$D$12,'07_Regras_Complexidade'!$E$12,IF(SUM(N125:Q125)&lt;='07_Regras_Complexidade'!$D$13,'07_Regras_Complexidade'!$E$13,IF(SUM(N125:Q125)&lt;='07_Regras_Complexidade'!$D$14,'07_Regras_Complexidade'!$E$14,IF(SUM(N125:Q125)&lt;='07_Regras_Complexidade'!$D$15,'07_Regras_Complexidade'!$E$15,'07_Regras_Complexidade'!$E$16)))))))</x:f>
      </x:c>
      <x:c r="S125"/>
    </x:row>
    <x:row r="126">
      <x:c r="A126"/>
      <x:c r="B126"/>
      <x:c r="C126"/>
      <x:c r="D126"/>
      <x:c r="E126"/>
      <x:c r="F126"/>
      <x:c r="G126"/>
      <x:c r="H126"/>
      <x:c r="I126" s="13" t="str">
        <x:f>IF(B126="","",IF(COUNT(F126:H126)&lt;3,"",SUM(F126:H126)))</x:f>
      </x:c>
      <x:c r="J126"/>
      <x:c r="K126"/>
      <x:c r="L126"/>
      <x:c r="M126"/>
      <x:c r="N126" s="13" t="str">
        <x:f>IF(I126="","",IF(I126&lt;='07_Regras_Complexidade'!$C$21,'07_Regras_Complexidade'!$D$21,IF(I126&lt;='07_Regras_Complexidade'!$C$22,'07_Regras_Complexidade'!$D$22,'07_Regras_Complexidade'!$D$23)))</x:f>
      </x:c>
      <x:c r="O126"/>
      <x:c r="P126"/>
      <x:c r="Q126"/>
      <x:c r="R126" s="13" t="str">
        <x:f>IF(B126="","",IF(OR(C126="Sem movimento",C126="Inativo",C126="Encerrado"),'07_Regras_Complexidade'!$E$11,IF(COUNT(N126:Q126)&lt;4,'07_Regras_Complexidade'!$E$17,IF(SUM(N126:Q126)&lt;='07_Regras_Complexidade'!$D$12,'07_Regras_Complexidade'!$E$12,IF(SUM(N126:Q126)&lt;='07_Regras_Complexidade'!$D$13,'07_Regras_Complexidade'!$E$13,IF(SUM(N126:Q126)&lt;='07_Regras_Complexidade'!$D$14,'07_Regras_Complexidade'!$E$14,IF(SUM(N126:Q126)&lt;='07_Regras_Complexidade'!$D$15,'07_Regras_Complexidade'!$E$15,'07_Regras_Complexidade'!$E$16)))))))</x:f>
      </x:c>
      <x:c r="S126"/>
    </x:row>
    <x:row r="127">
      <x:c r="A127"/>
      <x:c r="B127"/>
      <x:c r="C127"/>
      <x:c r="D127"/>
      <x:c r="E127"/>
      <x:c r="F127"/>
      <x:c r="G127"/>
      <x:c r="H127"/>
      <x:c r="I127" s="13" t="str">
        <x:f>IF(B127="","",IF(COUNT(F127:H127)&lt;3,"",SUM(F127:H127)))</x:f>
      </x:c>
      <x:c r="J127"/>
      <x:c r="K127"/>
      <x:c r="L127"/>
      <x:c r="M127"/>
      <x:c r="N127" s="13" t="str">
        <x:f>IF(I127="","",IF(I127&lt;='07_Regras_Complexidade'!$C$21,'07_Regras_Complexidade'!$D$21,IF(I127&lt;='07_Regras_Complexidade'!$C$22,'07_Regras_Complexidade'!$D$22,'07_Regras_Complexidade'!$D$23)))</x:f>
      </x:c>
      <x:c r="O127"/>
      <x:c r="P127"/>
      <x:c r="Q127"/>
      <x:c r="R127" s="13" t="str">
        <x:f>IF(B127="","",IF(OR(C127="Sem movimento",C127="Inativo",C127="Encerrado"),'07_Regras_Complexidade'!$E$11,IF(COUNT(N127:Q127)&lt;4,'07_Regras_Complexidade'!$E$17,IF(SUM(N127:Q127)&lt;='07_Regras_Complexidade'!$D$12,'07_Regras_Complexidade'!$E$12,IF(SUM(N127:Q127)&lt;='07_Regras_Complexidade'!$D$13,'07_Regras_Complexidade'!$E$13,IF(SUM(N127:Q127)&lt;='07_Regras_Complexidade'!$D$14,'07_Regras_Complexidade'!$E$14,IF(SUM(N127:Q127)&lt;='07_Regras_Complexidade'!$D$15,'07_Regras_Complexidade'!$E$15,'07_Regras_Complexidade'!$E$16)))))))</x:f>
      </x:c>
      <x:c r="S127"/>
    </x:row>
    <x:row r="128">
      <x:c r="A128"/>
      <x:c r="B128"/>
      <x:c r="C128"/>
      <x:c r="D128"/>
      <x:c r="E128"/>
      <x:c r="F128"/>
      <x:c r="G128"/>
      <x:c r="H128"/>
      <x:c r="I128" s="13" t="str">
        <x:f>IF(B128="","",IF(COUNT(F128:H128)&lt;3,"",SUM(F128:H128)))</x:f>
      </x:c>
      <x:c r="J128"/>
      <x:c r="K128"/>
      <x:c r="L128"/>
      <x:c r="M128"/>
      <x:c r="N128" s="13" t="str">
        <x:f>IF(I128="","",IF(I128&lt;='07_Regras_Complexidade'!$C$21,'07_Regras_Complexidade'!$D$21,IF(I128&lt;='07_Regras_Complexidade'!$C$22,'07_Regras_Complexidade'!$D$22,'07_Regras_Complexidade'!$D$23)))</x:f>
      </x:c>
      <x:c r="O128"/>
      <x:c r="P128"/>
      <x:c r="Q128"/>
      <x:c r="R128" s="13" t="str">
        <x:f>IF(B128="","",IF(OR(C128="Sem movimento",C128="Inativo",C128="Encerrado"),'07_Regras_Complexidade'!$E$11,IF(COUNT(N128:Q128)&lt;4,'07_Regras_Complexidade'!$E$17,IF(SUM(N128:Q128)&lt;='07_Regras_Complexidade'!$D$12,'07_Regras_Complexidade'!$E$12,IF(SUM(N128:Q128)&lt;='07_Regras_Complexidade'!$D$13,'07_Regras_Complexidade'!$E$13,IF(SUM(N128:Q128)&lt;='07_Regras_Complexidade'!$D$14,'07_Regras_Complexidade'!$E$14,IF(SUM(N128:Q128)&lt;='07_Regras_Complexidade'!$D$15,'07_Regras_Complexidade'!$E$15,'07_Regras_Complexidade'!$E$16)))))))</x:f>
      </x:c>
      <x:c r="S128"/>
    </x:row>
    <x:row r="129">
      <x:c r="A129"/>
      <x:c r="B129"/>
      <x:c r="C129"/>
      <x:c r="D129"/>
      <x:c r="E129"/>
      <x:c r="F129"/>
      <x:c r="G129"/>
      <x:c r="H129"/>
      <x:c r="I129" s="13" t="str">
        <x:f>IF(B129="","",IF(COUNT(F129:H129)&lt;3,"",SUM(F129:H129)))</x:f>
      </x:c>
      <x:c r="J129"/>
      <x:c r="K129"/>
      <x:c r="L129"/>
      <x:c r="M129"/>
      <x:c r="N129" s="13" t="str">
        <x:f>IF(I129="","",IF(I129&lt;='07_Regras_Complexidade'!$C$21,'07_Regras_Complexidade'!$D$21,IF(I129&lt;='07_Regras_Complexidade'!$C$22,'07_Regras_Complexidade'!$D$22,'07_Regras_Complexidade'!$D$23)))</x:f>
      </x:c>
      <x:c r="O129"/>
      <x:c r="P129"/>
      <x:c r="Q129"/>
      <x:c r="R129" s="13" t="str">
        <x:f>IF(B129="","",IF(OR(C129="Sem movimento",C129="Inativo",C129="Encerrado"),'07_Regras_Complexidade'!$E$11,IF(COUNT(N129:Q129)&lt;4,'07_Regras_Complexidade'!$E$17,IF(SUM(N129:Q129)&lt;='07_Regras_Complexidade'!$D$12,'07_Regras_Complexidade'!$E$12,IF(SUM(N129:Q129)&lt;='07_Regras_Complexidade'!$D$13,'07_Regras_Complexidade'!$E$13,IF(SUM(N129:Q129)&lt;='07_Regras_Complexidade'!$D$14,'07_Regras_Complexidade'!$E$14,IF(SUM(N129:Q129)&lt;='07_Regras_Complexidade'!$D$15,'07_Regras_Complexidade'!$E$15,'07_Regras_Complexidade'!$E$16)))))))</x:f>
      </x:c>
      <x:c r="S129"/>
    </x:row>
    <x:row r="130">
      <x:c r="A130"/>
      <x:c r="B130"/>
      <x:c r="C130"/>
      <x:c r="D130"/>
      <x:c r="E130"/>
      <x:c r="F130"/>
      <x:c r="G130"/>
      <x:c r="H130"/>
      <x:c r="I130" s="13" t="str">
        <x:f>IF(B130="","",IF(COUNT(F130:H130)&lt;3,"",SUM(F130:H130)))</x:f>
      </x:c>
      <x:c r="J130"/>
      <x:c r="K130"/>
      <x:c r="L130"/>
      <x:c r="M130"/>
      <x:c r="N130" s="13" t="str">
        <x:f>IF(I130="","",IF(I130&lt;='07_Regras_Complexidade'!$C$21,'07_Regras_Complexidade'!$D$21,IF(I130&lt;='07_Regras_Complexidade'!$C$22,'07_Regras_Complexidade'!$D$22,'07_Regras_Complexidade'!$D$23)))</x:f>
      </x:c>
      <x:c r="O130"/>
      <x:c r="P130"/>
      <x:c r="Q130"/>
      <x:c r="R130" s="13" t="str">
        <x:f>IF(B130="","",IF(OR(C130="Sem movimento",C130="Inativo",C130="Encerrado"),'07_Regras_Complexidade'!$E$11,IF(COUNT(N130:Q130)&lt;4,'07_Regras_Complexidade'!$E$17,IF(SUM(N130:Q130)&lt;='07_Regras_Complexidade'!$D$12,'07_Regras_Complexidade'!$E$12,IF(SUM(N130:Q130)&lt;='07_Regras_Complexidade'!$D$13,'07_Regras_Complexidade'!$E$13,IF(SUM(N130:Q130)&lt;='07_Regras_Complexidade'!$D$14,'07_Regras_Complexidade'!$E$14,IF(SUM(N130:Q130)&lt;='07_Regras_Complexidade'!$D$15,'07_Regras_Complexidade'!$E$15,'07_Regras_Complexidade'!$E$16)))))))</x:f>
      </x:c>
      <x:c r="S130"/>
    </x:row>
    <x:row r="131">
      <x:c r="A131"/>
      <x:c r="B131"/>
      <x:c r="C131"/>
      <x:c r="D131"/>
      <x:c r="E131"/>
      <x:c r="F131"/>
      <x:c r="G131"/>
      <x:c r="H131"/>
      <x:c r="I131" s="13" t="str">
        <x:f>IF(B131="","",IF(COUNT(F131:H131)&lt;3,"",SUM(F131:H131)))</x:f>
      </x:c>
      <x:c r="J131"/>
      <x:c r="K131"/>
      <x:c r="L131"/>
      <x:c r="M131"/>
      <x:c r="N131" s="13" t="str">
        <x:f>IF(I131="","",IF(I131&lt;='07_Regras_Complexidade'!$C$21,'07_Regras_Complexidade'!$D$21,IF(I131&lt;='07_Regras_Complexidade'!$C$22,'07_Regras_Complexidade'!$D$22,'07_Regras_Complexidade'!$D$23)))</x:f>
      </x:c>
      <x:c r="O131"/>
      <x:c r="P131"/>
      <x:c r="Q131"/>
      <x:c r="R131" s="13" t="str">
        <x:f>IF(B131="","",IF(OR(C131="Sem movimento",C131="Inativo",C131="Encerrado"),'07_Regras_Complexidade'!$E$11,IF(COUNT(N131:Q131)&lt;4,'07_Regras_Complexidade'!$E$17,IF(SUM(N131:Q131)&lt;='07_Regras_Complexidade'!$D$12,'07_Regras_Complexidade'!$E$12,IF(SUM(N131:Q131)&lt;='07_Regras_Complexidade'!$D$13,'07_Regras_Complexidade'!$E$13,IF(SUM(N131:Q131)&lt;='07_Regras_Complexidade'!$D$14,'07_Regras_Complexidade'!$E$14,IF(SUM(N131:Q131)&lt;='07_Regras_Complexidade'!$D$15,'07_Regras_Complexidade'!$E$15,'07_Regras_Complexidade'!$E$16)))))))</x:f>
      </x:c>
      <x:c r="S131"/>
    </x:row>
    <x:row r="132">
      <x:c r="A132"/>
      <x:c r="B132"/>
      <x:c r="C132"/>
      <x:c r="D132"/>
      <x:c r="E132"/>
      <x:c r="F132"/>
      <x:c r="G132"/>
      <x:c r="H132"/>
      <x:c r="I132" s="13" t="str">
        <x:f>IF(B132="","",IF(COUNT(F132:H132)&lt;3,"",SUM(F132:H132)))</x:f>
      </x:c>
      <x:c r="J132"/>
      <x:c r="K132"/>
      <x:c r="L132"/>
      <x:c r="M132"/>
      <x:c r="N132" s="13" t="str">
        <x:f>IF(I132="","",IF(I132&lt;='07_Regras_Complexidade'!$C$21,'07_Regras_Complexidade'!$D$21,IF(I132&lt;='07_Regras_Complexidade'!$C$22,'07_Regras_Complexidade'!$D$22,'07_Regras_Complexidade'!$D$23)))</x:f>
      </x:c>
      <x:c r="O132"/>
      <x:c r="P132"/>
      <x:c r="Q132"/>
      <x:c r="R132" s="13" t="str">
        <x:f>IF(B132="","",IF(OR(C132="Sem movimento",C132="Inativo",C132="Encerrado"),'07_Regras_Complexidade'!$E$11,IF(COUNT(N132:Q132)&lt;4,'07_Regras_Complexidade'!$E$17,IF(SUM(N132:Q132)&lt;='07_Regras_Complexidade'!$D$12,'07_Regras_Complexidade'!$E$12,IF(SUM(N132:Q132)&lt;='07_Regras_Complexidade'!$D$13,'07_Regras_Complexidade'!$E$13,IF(SUM(N132:Q132)&lt;='07_Regras_Complexidade'!$D$14,'07_Regras_Complexidade'!$E$14,IF(SUM(N132:Q132)&lt;='07_Regras_Complexidade'!$D$15,'07_Regras_Complexidade'!$E$15,'07_Regras_Complexidade'!$E$16)))))))</x:f>
      </x:c>
      <x:c r="S132"/>
    </x:row>
    <x:row r="133">
      <x:c r="A133"/>
      <x:c r="B133"/>
      <x:c r="C133"/>
      <x:c r="D133"/>
      <x:c r="E133"/>
      <x:c r="F133"/>
      <x:c r="G133"/>
      <x:c r="H133"/>
      <x:c r="I133" s="13" t="str">
        <x:f>IF(B133="","",IF(COUNT(F133:H133)&lt;3,"",SUM(F133:H133)))</x:f>
      </x:c>
      <x:c r="J133"/>
      <x:c r="K133"/>
      <x:c r="L133"/>
      <x:c r="M133"/>
      <x:c r="N133" s="13" t="str">
        <x:f>IF(I133="","",IF(I133&lt;='07_Regras_Complexidade'!$C$21,'07_Regras_Complexidade'!$D$21,IF(I133&lt;='07_Regras_Complexidade'!$C$22,'07_Regras_Complexidade'!$D$22,'07_Regras_Complexidade'!$D$23)))</x:f>
      </x:c>
      <x:c r="O133"/>
      <x:c r="P133"/>
      <x:c r="Q133"/>
      <x:c r="R133" s="13" t="str">
        <x:f>IF(B133="","",IF(OR(C133="Sem movimento",C133="Inativo",C133="Encerrado"),'07_Regras_Complexidade'!$E$11,IF(COUNT(N133:Q133)&lt;4,'07_Regras_Complexidade'!$E$17,IF(SUM(N133:Q133)&lt;='07_Regras_Complexidade'!$D$12,'07_Regras_Complexidade'!$E$12,IF(SUM(N133:Q133)&lt;='07_Regras_Complexidade'!$D$13,'07_Regras_Complexidade'!$E$13,IF(SUM(N133:Q133)&lt;='07_Regras_Complexidade'!$D$14,'07_Regras_Complexidade'!$E$14,IF(SUM(N133:Q133)&lt;='07_Regras_Complexidade'!$D$15,'07_Regras_Complexidade'!$E$15,'07_Regras_Complexidade'!$E$16)))))))</x:f>
      </x:c>
      <x:c r="S133"/>
    </x:row>
    <x:row r="134">
      <x:c r="A134"/>
      <x:c r="B134"/>
      <x:c r="C134"/>
      <x:c r="D134"/>
      <x:c r="E134"/>
      <x:c r="F134"/>
      <x:c r="G134"/>
      <x:c r="H134"/>
      <x:c r="I134" s="13" t="str">
        <x:f>IF(B134="","",IF(COUNT(F134:H134)&lt;3,"",SUM(F134:H134)))</x:f>
      </x:c>
      <x:c r="J134"/>
      <x:c r="K134"/>
      <x:c r="L134"/>
      <x:c r="M134"/>
      <x:c r="N134" s="13" t="str">
        <x:f>IF(I134="","",IF(I134&lt;='07_Regras_Complexidade'!$C$21,'07_Regras_Complexidade'!$D$21,IF(I134&lt;='07_Regras_Complexidade'!$C$22,'07_Regras_Complexidade'!$D$22,'07_Regras_Complexidade'!$D$23)))</x:f>
      </x:c>
      <x:c r="O134"/>
      <x:c r="P134"/>
      <x:c r="Q134"/>
      <x:c r="R134" s="13" t="str">
        <x:f>IF(B134="","",IF(OR(C134="Sem movimento",C134="Inativo",C134="Encerrado"),'07_Regras_Complexidade'!$E$11,IF(COUNT(N134:Q134)&lt;4,'07_Regras_Complexidade'!$E$17,IF(SUM(N134:Q134)&lt;='07_Regras_Complexidade'!$D$12,'07_Regras_Complexidade'!$E$12,IF(SUM(N134:Q134)&lt;='07_Regras_Complexidade'!$D$13,'07_Regras_Complexidade'!$E$13,IF(SUM(N134:Q134)&lt;='07_Regras_Complexidade'!$D$14,'07_Regras_Complexidade'!$E$14,IF(SUM(N134:Q134)&lt;='07_Regras_Complexidade'!$D$15,'07_Regras_Complexidade'!$E$15,'07_Regras_Complexidade'!$E$16)))))))</x:f>
      </x:c>
      <x:c r="S134"/>
    </x:row>
    <x:row r="135">
      <x:c r="A135"/>
      <x:c r="B135"/>
      <x:c r="C135"/>
      <x:c r="D135"/>
      <x:c r="E135"/>
      <x:c r="F135"/>
      <x:c r="G135"/>
      <x:c r="H135"/>
      <x:c r="I135" s="13" t="str">
        <x:f>IF(B135="","",IF(COUNT(F135:H135)&lt;3,"",SUM(F135:H135)))</x:f>
      </x:c>
      <x:c r="J135"/>
      <x:c r="K135"/>
      <x:c r="L135"/>
      <x:c r="M135"/>
      <x:c r="N135" s="13" t="str">
        <x:f>IF(I135="","",IF(I135&lt;='07_Regras_Complexidade'!$C$21,'07_Regras_Complexidade'!$D$21,IF(I135&lt;='07_Regras_Complexidade'!$C$22,'07_Regras_Complexidade'!$D$22,'07_Regras_Complexidade'!$D$23)))</x:f>
      </x:c>
      <x:c r="O135"/>
      <x:c r="P135"/>
      <x:c r="Q135"/>
      <x:c r="R135" s="13" t="str">
        <x:f>IF(B135="","",IF(OR(C135="Sem movimento",C135="Inativo",C135="Encerrado"),'07_Regras_Complexidade'!$E$11,IF(COUNT(N135:Q135)&lt;4,'07_Regras_Complexidade'!$E$17,IF(SUM(N135:Q135)&lt;='07_Regras_Complexidade'!$D$12,'07_Regras_Complexidade'!$E$12,IF(SUM(N135:Q135)&lt;='07_Regras_Complexidade'!$D$13,'07_Regras_Complexidade'!$E$13,IF(SUM(N135:Q135)&lt;='07_Regras_Complexidade'!$D$14,'07_Regras_Complexidade'!$E$14,IF(SUM(N135:Q135)&lt;='07_Regras_Complexidade'!$D$15,'07_Regras_Complexidade'!$E$15,'07_Regras_Complexidade'!$E$16)))))))</x:f>
      </x:c>
      <x:c r="S135"/>
    </x:row>
    <x:row r="136">
      <x:c r="A136"/>
      <x:c r="B136"/>
      <x:c r="C136"/>
      <x:c r="D136"/>
      <x:c r="E136"/>
      <x:c r="F136"/>
      <x:c r="G136"/>
      <x:c r="H136"/>
      <x:c r="I136" s="13" t="str">
        <x:f>IF(B136="","",IF(COUNT(F136:H136)&lt;3,"",SUM(F136:H136)))</x:f>
      </x:c>
      <x:c r="J136"/>
      <x:c r="K136"/>
      <x:c r="L136"/>
      <x:c r="M136"/>
      <x:c r="N136" s="13" t="str">
        <x:f>IF(I136="","",IF(I136&lt;='07_Regras_Complexidade'!$C$21,'07_Regras_Complexidade'!$D$21,IF(I136&lt;='07_Regras_Complexidade'!$C$22,'07_Regras_Complexidade'!$D$22,'07_Regras_Complexidade'!$D$23)))</x:f>
      </x:c>
      <x:c r="O136"/>
      <x:c r="P136"/>
      <x:c r="Q136"/>
      <x:c r="R136" s="13" t="str">
        <x:f>IF(B136="","",IF(OR(C136="Sem movimento",C136="Inativo",C136="Encerrado"),'07_Regras_Complexidade'!$E$11,IF(COUNT(N136:Q136)&lt;4,'07_Regras_Complexidade'!$E$17,IF(SUM(N136:Q136)&lt;='07_Regras_Complexidade'!$D$12,'07_Regras_Complexidade'!$E$12,IF(SUM(N136:Q136)&lt;='07_Regras_Complexidade'!$D$13,'07_Regras_Complexidade'!$E$13,IF(SUM(N136:Q136)&lt;='07_Regras_Complexidade'!$D$14,'07_Regras_Complexidade'!$E$14,IF(SUM(N136:Q136)&lt;='07_Regras_Complexidade'!$D$15,'07_Regras_Complexidade'!$E$15,'07_Regras_Complexidade'!$E$16)))))))</x:f>
      </x:c>
      <x:c r="S136"/>
    </x:row>
    <x:row r="137">
      <x:c r="A137"/>
      <x:c r="B137"/>
      <x:c r="C137"/>
      <x:c r="D137"/>
      <x:c r="E137"/>
      <x:c r="F137"/>
      <x:c r="G137"/>
      <x:c r="H137"/>
      <x:c r="I137" s="13" t="str">
        <x:f>IF(B137="","",IF(COUNT(F137:H137)&lt;3,"",SUM(F137:H137)))</x:f>
      </x:c>
      <x:c r="J137"/>
      <x:c r="K137"/>
      <x:c r="L137"/>
      <x:c r="M137"/>
      <x:c r="N137" s="13" t="str">
        <x:f>IF(I137="","",IF(I137&lt;='07_Regras_Complexidade'!$C$21,'07_Regras_Complexidade'!$D$21,IF(I137&lt;='07_Regras_Complexidade'!$C$22,'07_Regras_Complexidade'!$D$22,'07_Regras_Complexidade'!$D$23)))</x:f>
      </x:c>
      <x:c r="O137"/>
      <x:c r="P137"/>
      <x:c r="Q137"/>
      <x:c r="R137" s="13" t="str">
        <x:f>IF(B137="","",IF(OR(C137="Sem movimento",C137="Inativo",C137="Encerrado"),'07_Regras_Complexidade'!$E$11,IF(COUNT(N137:Q137)&lt;4,'07_Regras_Complexidade'!$E$17,IF(SUM(N137:Q137)&lt;='07_Regras_Complexidade'!$D$12,'07_Regras_Complexidade'!$E$12,IF(SUM(N137:Q137)&lt;='07_Regras_Complexidade'!$D$13,'07_Regras_Complexidade'!$E$13,IF(SUM(N137:Q137)&lt;='07_Regras_Complexidade'!$D$14,'07_Regras_Complexidade'!$E$14,IF(SUM(N137:Q137)&lt;='07_Regras_Complexidade'!$D$15,'07_Regras_Complexidade'!$E$15,'07_Regras_Complexidade'!$E$16)))))))</x:f>
      </x:c>
      <x:c r="S137"/>
    </x:row>
    <x:row r="138">
      <x:c r="A138"/>
      <x:c r="B138"/>
      <x:c r="C138"/>
      <x:c r="D138"/>
      <x:c r="E138"/>
      <x:c r="F138"/>
      <x:c r="G138"/>
      <x:c r="H138"/>
      <x:c r="I138" s="13" t="str">
        <x:f>IF(B138="","",IF(COUNT(F138:H138)&lt;3,"",SUM(F138:H138)))</x:f>
      </x:c>
      <x:c r="J138"/>
      <x:c r="K138"/>
      <x:c r="L138"/>
      <x:c r="M138"/>
      <x:c r="N138" s="13" t="str">
        <x:f>IF(I138="","",IF(I138&lt;='07_Regras_Complexidade'!$C$21,'07_Regras_Complexidade'!$D$21,IF(I138&lt;='07_Regras_Complexidade'!$C$22,'07_Regras_Complexidade'!$D$22,'07_Regras_Complexidade'!$D$23)))</x:f>
      </x:c>
      <x:c r="O138"/>
      <x:c r="P138"/>
      <x:c r="Q138"/>
      <x:c r="R138" s="13" t="str">
        <x:f>IF(B138="","",IF(OR(C138="Sem movimento",C138="Inativo",C138="Encerrado"),'07_Regras_Complexidade'!$E$11,IF(COUNT(N138:Q138)&lt;4,'07_Regras_Complexidade'!$E$17,IF(SUM(N138:Q138)&lt;='07_Regras_Complexidade'!$D$12,'07_Regras_Complexidade'!$E$12,IF(SUM(N138:Q138)&lt;='07_Regras_Complexidade'!$D$13,'07_Regras_Complexidade'!$E$13,IF(SUM(N138:Q138)&lt;='07_Regras_Complexidade'!$D$14,'07_Regras_Complexidade'!$E$14,IF(SUM(N138:Q138)&lt;='07_Regras_Complexidade'!$D$15,'07_Regras_Complexidade'!$E$15,'07_Regras_Complexidade'!$E$16)))))))</x:f>
      </x:c>
      <x:c r="S138"/>
    </x:row>
    <x:row r="139">
      <x:c r="A139"/>
      <x:c r="B139"/>
      <x:c r="C139"/>
      <x:c r="D139"/>
      <x:c r="E139"/>
      <x:c r="F139"/>
      <x:c r="G139"/>
      <x:c r="H139"/>
      <x:c r="I139" s="13" t="str">
        <x:f>IF(B139="","",IF(COUNT(F139:H139)&lt;3,"",SUM(F139:H139)))</x:f>
      </x:c>
      <x:c r="J139"/>
      <x:c r="K139"/>
      <x:c r="L139"/>
      <x:c r="M139"/>
      <x:c r="N139" s="13" t="str">
        <x:f>IF(I139="","",IF(I139&lt;='07_Regras_Complexidade'!$C$21,'07_Regras_Complexidade'!$D$21,IF(I139&lt;='07_Regras_Complexidade'!$C$22,'07_Regras_Complexidade'!$D$22,'07_Regras_Complexidade'!$D$23)))</x:f>
      </x:c>
      <x:c r="O139"/>
      <x:c r="P139"/>
      <x:c r="Q139"/>
      <x:c r="R139" s="13" t="str">
        <x:f>IF(B139="","",IF(OR(C139="Sem movimento",C139="Inativo",C139="Encerrado"),'07_Regras_Complexidade'!$E$11,IF(COUNT(N139:Q139)&lt;4,'07_Regras_Complexidade'!$E$17,IF(SUM(N139:Q139)&lt;='07_Regras_Complexidade'!$D$12,'07_Regras_Complexidade'!$E$12,IF(SUM(N139:Q139)&lt;='07_Regras_Complexidade'!$D$13,'07_Regras_Complexidade'!$E$13,IF(SUM(N139:Q139)&lt;='07_Regras_Complexidade'!$D$14,'07_Regras_Complexidade'!$E$14,IF(SUM(N139:Q139)&lt;='07_Regras_Complexidade'!$D$15,'07_Regras_Complexidade'!$E$15,'07_Regras_Complexidade'!$E$16)))))))</x:f>
      </x:c>
      <x:c r="S139"/>
    </x:row>
    <x:row r="140">
      <x:c r="A140"/>
      <x:c r="B140"/>
      <x:c r="C140"/>
      <x:c r="D140"/>
      <x:c r="E140"/>
      <x:c r="F140"/>
      <x:c r="G140"/>
      <x:c r="H140"/>
      <x:c r="I140" s="13" t="str">
        <x:f>IF(B140="","",IF(COUNT(F140:H140)&lt;3,"",SUM(F140:H140)))</x:f>
      </x:c>
      <x:c r="J140"/>
      <x:c r="K140"/>
      <x:c r="L140"/>
      <x:c r="M140"/>
      <x:c r="N140" s="13" t="str">
        <x:f>IF(I140="","",IF(I140&lt;='07_Regras_Complexidade'!$C$21,'07_Regras_Complexidade'!$D$21,IF(I140&lt;='07_Regras_Complexidade'!$C$22,'07_Regras_Complexidade'!$D$22,'07_Regras_Complexidade'!$D$23)))</x:f>
      </x:c>
      <x:c r="O140"/>
      <x:c r="P140"/>
      <x:c r="Q140"/>
      <x:c r="R140" s="13" t="str">
        <x:f>IF(B140="","",IF(OR(C140="Sem movimento",C140="Inativo",C140="Encerrado"),'07_Regras_Complexidade'!$E$11,IF(COUNT(N140:Q140)&lt;4,'07_Regras_Complexidade'!$E$17,IF(SUM(N140:Q140)&lt;='07_Regras_Complexidade'!$D$12,'07_Regras_Complexidade'!$E$12,IF(SUM(N140:Q140)&lt;='07_Regras_Complexidade'!$D$13,'07_Regras_Complexidade'!$E$13,IF(SUM(N140:Q140)&lt;='07_Regras_Complexidade'!$D$14,'07_Regras_Complexidade'!$E$14,IF(SUM(N140:Q140)&lt;='07_Regras_Complexidade'!$D$15,'07_Regras_Complexidade'!$E$15,'07_Regras_Complexidade'!$E$16)))))))</x:f>
      </x:c>
      <x:c r="S140"/>
    </x:row>
    <x:row r="141">
      <x:c r="A141"/>
      <x:c r="B141"/>
      <x:c r="C141"/>
      <x:c r="D141"/>
      <x:c r="E141"/>
      <x:c r="F141"/>
      <x:c r="G141"/>
      <x:c r="H141"/>
      <x:c r="I141" s="13" t="str">
        <x:f>IF(B141="","",IF(COUNT(F141:H141)&lt;3,"",SUM(F141:H141)))</x:f>
      </x:c>
      <x:c r="J141"/>
      <x:c r="K141"/>
      <x:c r="L141"/>
      <x:c r="M141"/>
      <x:c r="N141" s="13" t="str">
        <x:f>IF(I141="","",IF(I141&lt;='07_Regras_Complexidade'!$C$21,'07_Regras_Complexidade'!$D$21,IF(I141&lt;='07_Regras_Complexidade'!$C$22,'07_Regras_Complexidade'!$D$22,'07_Regras_Complexidade'!$D$23)))</x:f>
      </x:c>
      <x:c r="O141"/>
      <x:c r="P141"/>
      <x:c r="Q141"/>
      <x:c r="R141" s="13" t="str">
        <x:f>IF(B141="","",IF(OR(C141="Sem movimento",C141="Inativo",C141="Encerrado"),'07_Regras_Complexidade'!$E$11,IF(COUNT(N141:Q141)&lt;4,'07_Regras_Complexidade'!$E$17,IF(SUM(N141:Q141)&lt;='07_Regras_Complexidade'!$D$12,'07_Regras_Complexidade'!$E$12,IF(SUM(N141:Q141)&lt;='07_Regras_Complexidade'!$D$13,'07_Regras_Complexidade'!$E$13,IF(SUM(N141:Q141)&lt;='07_Regras_Complexidade'!$D$14,'07_Regras_Complexidade'!$E$14,IF(SUM(N141:Q141)&lt;='07_Regras_Complexidade'!$D$15,'07_Regras_Complexidade'!$E$15,'07_Regras_Complexidade'!$E$16)))))))</x:f>
      </x:c>
      <x:c r="S141"/>
    </x:row>
    <x:row r="142">
      <x:c r="A142"/>
      <x:c r="B142"/>
      <x:c r="C142"/>
      <x:c r="D142"/>
      <x:c r="E142"/>
      <x:c r="F142"/>
      <x:c r="G142"/>
      <x:c r="H142"/>
      <x:c r="I142" s="13" t="str">
        <x:f>IF(B142="","",IF(COUNT(F142:H142)&lt;3,"",SUM(F142:H142)))</x:f>
      </x:c>
      <x:c r="J142"/>
      <x:c r="K142"/>
      <x:c r="L142"/>
      <x:c r="M142"/>
      <x:c r="N142" s="13" t="str">
        <x:f>IF(I142="","",IF(I142&lt;='07_Regras_Complexidade'!$C$21,'07_Regras_Complexidade'!$D$21,IF(I142&lt;='07_Regras_Complexidade'!$C$22,'07_Regras_Complexidade'!$D$22,'07_Regras_Complexidade'!$D$23)))</x:f>
      </x:c>
      <x:c r="O142"/>
      <x:c r="P142"/>
      <x:c r="Q142"/>
      <x:c r="R142" s="13" t="str">
        <x:f>IF(B142="","",IF(OR(C142="Sem movimento",C142="Inativo",C142="Encerrado"),'07_Regras_Complexidade'!$E$11,IF(COUNT(N142:Q142)&lt;4,'07_Regras_Complexidade'!$E$17,IF(SUM(N142:Q142)&lt;='07_Regras_Complexidade'!$D$12,'07_Regras_Complexidade'!$E$12,IF(SUM(N142:Q142)&lt;='07_Regras_Complexidade'!$D$13,'07_Regras_Complexidade'!$E$13,IF(SUM(N142:Q142)&lt;='07_Regras_Complexidade'!$D$14,'07_Regras_Complexidade'!$E$14,IF(SUM(N142:Q142)&lt;='07_Regras_Complexidade'!$D$15,'07_Regras_Complexidade'!$E$15,'07_Regras_Complexidade'!$E$16)))))))</x:f>
      </x:c>
      <x:c r="S142"/>
    </x:row>
    <x:row r="143">
      <x:c r="A143"/>
      <x:c r="B143"/>
      <x:c r="C143"/>
      <x:c r="D143"/>
      <x:c r="E143"/>
      <x:c r="F143"/>
      <x:c r="G143"/>
      <x:c r="H143"/>
      <x:c r="I143" s="13" t="str">
        <x:f>IF(B143="","",IF(COUNT(F143:H143)&lt;3,"",SUM(F143:H143)))</x:f>
      </x:c>
      <x:c r="J143"/>
      <x:c r="K143"/>
      <x:c r="L143"/>
      <x:c r="M143"/>
      <x:c r="N143" s="13" t="str">
        <x:f>IF(I143="","",IF(I143&lt;='07_Regras_Complexidade'!$C$21,'07_Regras_Complexidade'!$D$21,IF(I143&lt;='07_Regras_Complexidade'!$C$22,'07_Regras_Complexidade'!$D$22,'07_Regras_Complexidade'!$D$23)))</x:f>
      </x:c>
      <x:c r="O143"/>
      <x:c r="P143"/>
      <x:c r="Q143"/>
      <x:c r="R143" s="13" t="str">
        <x:f>IF(B143="","",IF(OR(C143="Sem movimento",C143="Inativo",C143="Encerrado"),'07_Regras_Complexidade'!$E$11,IF(COUNT(N143:Q143)&lt;4,'07_Regras_Complexidade'!$E$17,IF(SUM(N143:Q143)&lt;='07_Regras_Complexidade'!$D$12,'07_Regras_Complexidade'!$E$12,IF(SUM(N143:Q143)&lt;='07_Regras_Complexidade'!$D$13,'07_Regras_Complexidade'!$E$13,IF(SUM(N143:Q143)&lt;='07_Regras_Complexidade'!$D$14,'07_Regras_Complexidade'!$E$14,IF(SUM(N143:Q143)&lt;='07_Regras_Complexidade'!$D$15,'07_Regras_Complexidade'!$E$15,'07_Regras_Complexidade'!$E$16)))))))</x:f>
      </x:c>
      <x:c r="S143"/>
    </x:row>
    <x:row r="144">
      <x:c r="A144"/>
      <x:c r="B144"/>
      <x:c r="C144"/>
      <x:c r="D144"/>
      <x:c r="E144"/>
      <x:c r="F144"/>
      <x:c r="G144"/>
      <x:c r="H144"/>
      <x:c r="I144" s="13" t="str">
        <x:f>IF(B144="","",IF(COUNT(F144:H144)&lt;3,"",SUM(F144:H144)))</x:f>
      </x:c>
      <x:c r="J144"/>
      <x:c r="K144"/>
      <x:c r="L144"/>
      <x:c r="M144"/>
      <x:c r="N144" s="13" t="str">
        <x:f>IF(I144="","",IF(I144&lt;='07_Regras_Complexidade'!$C$21,'07_Regras_Complexidade'!$D$21,IF(I144&lt;='07_Regras_Complexidade'!$C$22,'07_Regras_Complexidade'!$D$22,'07_Regras_Complexidade'!$D$23)))</x:f>
      </x:c>
      <x:c r="O144"/>
      <x:c r="P144"/>
      <x:c r="Q144"/>
      <x:c r="R144" s="13" t="str">
        <x:f>IF(B144="","",IF(OR(C144="Sem movimento",C144="Inativo",C144="Encerrado"),'07_Regras_Complexidade'!$E$11,IF(COUNT(N144:Q144)&lt;4,'07_Regras_Complexidade'!$E$17,IF(SUM(N144:Q144)&lt;='07_Regras_Complexidade'!$D$12,'07_Regras_Complexidade'!$E$12,IF(SUM(N144:Q144)&lt;='07_Regras_Complexidade'!$D$13,'07_Regras_Complexidade'!$E$13,IF(SUM(N144:Q144)&lt;='07_Regras_Complexidade'!$D$14,'07_Regras_Complexidade'!$E$14,IF(SUM(N144:Q144)&lt;='07_Regras_Complexidade'!$D$15,'07_Regras_Complexidade'!$E$15,'07_Regras_Complexidade'!$E$16)))))))</x:f>
      </x:c>
      <x:c r="S144"/>
    </x:row>
    <x:row r="145">
      <x:c r="A145"/>
      <x:c r="B145"/>
      <x:c r="C145"/>
      <x:c r="D145"/>
      <x:c r="E145"/>
      <x:c r="F145"/>
      <x:c r="G145"/>
      <x:c r="H145"/>
      <x:c r="I145" s="13" t="str">
        <x:f>IF(B145="","",IF(COUNT(F145:H145)&lt;3,"",SUM(F145:H145)))</x:f>
      </x:c>
      <x:c r="J145"/>
      <x:c r="K145"/>
      <x:c r="L145"/>
      <x:c r="M145"/>
      <x:c r="N145" s="13" t="str">
        <x:f>IF(I145="","",IF(I145&lt;='07_Regras_Complexidade'!$C$21,'07_Regras_Complexidade'!$D$21,IF(I145&lt;='07_Regras_Complexidade'!$C$22,'07_Regras_Complexidade'!$D$22,'07_Regras_Complexidade'!$D$23)))</x:f>
      </x:c>
      <x:c r="O145"/>
      <x:c r="P145"/>
      <x:c r="Q145"/>
      <x:c r="R145" s="13" t="str">
        <x:f>IF(B145="","",IF(OR(C145="Sem movimento",C145="Inativo",C145="Encerrado"),'07_Regras_Complexidade'!$E$11,IF(COUNT(N145:Q145)&lt;4,'07_Regras_Complexidade'!$E$17,IF(SUM(N145:Q145)&lt;='07_Regras_Complexidade'!$D$12,'07_Regras_Complexidade'!$E$12,IF(SUM(N145:Q145)&lt;='07_Regras_Complexidade'!$D$13,'07_Regras_Complexidade'!$E$13,IF(SUM(N145:Q145)&lt;='07_Regras_Complexidade'!$D$14,'07_Regras_Complexidade'!$E$14,IF(SUM(N145:Q145)&lt;='07_Regras_Complexidade'!$D$15,'07_Regras_Complexidade'!$E$15,'07_Regras_Complexidade'!$E$16)))))))</x:f>
      </x:c>
      <x:c r="S145"/>
    </x:row>
    <x:row r="146">
      <x:c r="A146"/>
      <x:c r="B146"/>
      <x:c r="C146"/>
      <x:c r="D146"/>
      <x:c r="E146"/>
      <x:c r="F146"/>
      <x:c r="G146"/>
      <x:c r="H146"/>
      <x:c r="I146" s="13" t="str">
        <x:f>IF(B146="","",IF(COUNT(F146:H146)&lt;3,"",SUM(F146:H146)))</x:f>
      </x:c>
      <x:c r="J146"/>
      <x:c r="K146"/>
      <x:c r="L146"/>
      <x:c r="M146"/>
      <x:c r="N146" s="13" t="str">
        <x:f>IF(I146="","",IF(I146&lt;='07_Regras_Complexidade'!$C$21,'07_Regras_Complexidade'!$D$21,IF(I146&lt;='07_Regras_Complexidade'!$C$22,'07_Regras_Complexidade'!$D$22,'07_Regras_Complexidade'!$D$23)))</x:f>
      </x:c>
      <x:c r="O146"/>
      <x:c r="P146"/>
      <x:c r="Q146"/>
      <x:c r="R146" s="13" t="str">
        <x:f>IF(B146="","",IF(OR(C146="Sem movimento",C146="Inativo",C146="Encerrado"),'07_Regras_Complexidade'!$E$11,IF(COUNT(N146:Q146)&lt;4,'07_Regras_Complexidade'!$E$17,IF(SUM(N146:Q146)&lt;='07_Regras_Complexidade'!$D$12,'07_Regras_Complexidade'!$E$12,IF(SUM(N146:Q146)&lt;='07_Regras_Complexidade'!$D$13,'07_Regras_Complexidade'!$E$13,IF(SUM(N146:Q146)&lt;='07_Regras_Complexidade'!$D$14,'07_Regras_Complexidade'!$E$14,IF(SUM(N146:Q146)&lt;='07_Regras_Complexidade'!$D$15,'07_Regras_Complexidade'!$E$15,'07_Regras_Complexidade'!$E$16)))))))</x:f>
      </x:c>
      <x:c r="S146"/>
    </x:row>
    <x:row r="147">
      <x:c r="A147"/>
      <x:c r="B147"/>
      <x:c r="C147"/>
      <x:c r="D147"/>
      <x:c r="E147"/>
      <x:c r="F147"/>
      <x:c r="G147"/>
      <x:c r="H147"/>
      <x:c r="I147" s="13" t="str">
        <x:f>IF(B147="","",IF(COUNT(F147:H147)&lt;3,"",SUM(F147:H147)))</x:f>
      </x:c>
      <x:c r="J147"/>
      <x:c r="K147"/>
      <x:c r="L147"/>
      <x:c r="M147"/>
      <x:c r="N147" s="13" t="str">
        <x:f>IF(I147="","",IF(I147&lt;='07_Regras_Complexidade'!$C$21,'07_Regras_Complexidade'!$D$21,IF(I147&lt;='07_Regras_Complexidade'!$C$22,'07_Regras_Complexidade'!$D$22,'07_Regras_Complexidade'!$D$23)))</x:f>
      </x:c>
      <x:c r="O147"/>
      <x:c r="P147"/>
      <x:c r="Q147"/>
      <x:c r="R147" s="13" t="str">
        <x:f>IF(B147="","",IF(OR(C147="Sem movimento",C147="Inativo",C147="Encerrado"),'07_Regras_Complexidade'!$E$11,IF(COUNT(N147:Q147)&lt;4,'07_Regras_Complexidade'!$E$17,IF(SUM(N147:Q147)&lt;='07_Regras_Complexidade'!$D$12,'07_Regras_Complexidade'!$E$12,IF(SUM(N147:Q147)&lt;='07_Regras_Complexidade'!$D$13,'07_Regras_Complexidade'!$E$13,IF(SUM(N147:Q147)&lt;='07_Regras_Complexidade'!$D$14,'07_Regras_Complexidade'!$E$14,IF(SUM(N147:Q147)&lt;='07_Regras_Complexidade'!$D$15,'07_Regras_Complexidade'!$E$15,'07_Regras_Complexidade'!$E$16)))))))</x:f>
      </x:c>
      <x:c r="S147"/>
    </x:row>
    <x:row r="148">
      <x:c r="A148"/>
      <x:c r="B148"/>
      <x:c r="C148"/>
      <x:c r="D148"/>
      <x:c r="E148"/>
      <x:c r="F148"/>
      <x:c r="G148"/>
      <x:c r="H148"/>
      <x:c r="I148" s="13" t="str">
        <x:f>IF(B148="","",IF(COUNT(F148:H148)&lt;3,"",SUM(F148:H148)))</x:f>
      </x:c>
      <x:c r="J148"/>
      <x:c r="K148"/>
      <x:c r="L148"/>
      <x:c r="M148"/>
      <x:c r="N148" s="13" t="str">
        <x:f>IF(I148="","",IF(I148&lt;='07_Regras_Complexidade'!$C$21,'07_Regras_Complexidade'!$D$21,IF(I148&lt;='07_Regras_Complexidade'!$C$22,'07_Regras_Complexidade'!$D$22,'07_Regras_Complexidade'!$D$23)))</x:f>
      </x:c>
      <x:c r="O148"/>
      <x:c r="P148"/>
      <x:c r="Q148"/>
      <x:c r="R148" s="13" t="str">
        <x:f>IF(B148="","",IF(OR(C148="Sem movimento",C148="Inativo",C148="Encerrado"),'07_Regras_Complexidade'!$E$11,IF(COUNT(N148:Q148)&lt;4,'07_Regras_Complexidade'!$E$17,IF(SUM(N148:Q148)&lt;='07_Regras_Complexidade'!$D$12,'07_Regras_Complexidade'!$E$12,IF(SUM(N148:Q148)&lt;='07_Regras_Complexidade'!$D$13,'07_Regras_Complexidade'!$E$13,IF(SUM(N148:Q148)&lt;='07_Regras_Complexidade'!$D$14,'07_Regras_Complexidade'!$E$14,IF(SUM(N148:Q148)&lt;='07_Regras_Complexidade'!$D$15,'07_Regras_Complexidade'!$E$15,'07_Regras_Complexidade'!$E$16)))))))</x:f>
      </x:c>
      <x:c r="S148"/>
    </x:row>
    <x:row r="149">
      <x:c r="A149"/>
      <x:c r="B149"/>
      <x:c r="C149"/>
      <x:c r="D149"/>
      <x:c r="E149"/>
      <x:c r="F149"/>
      <x:c r="G149"/>
      <x:c r="H149"/>
      <x:c r="I149" s="13" t="str">
        <x:f>IF(B149="","",IF(COUNT(F149:H149)&lt;3,"",SUM(F149:H149)))</x:f>
      </x:c>
      <x:c r="J149"/>
      <x:c r="K149"/>
      <x:c r="L149"/>
      <x:c r="M149"/>
      <x:c r="N149" s="13" t="str">
        <x:f>IF(I149="","",IF(I149&lt;='07_Regras_Complexidade'!$C$21,'07_Regras_Complexidade'!$D$21,IF(I149&lt;='07_Regras_Complexidade'!$C$22,'07_Regras_Complexidade'!$D$22,'07_Regras_Complexidade'!$D$23)))</x:f>
      </x:c>
      <x:c r="O149"/>
      <x:c r="P149"/>
      <x:c r="Q149"/>
      <x:c r="R149" s="13" t="str">
        <x:f>IF(B149="","",IF(OR(C149="Sem movimento",C149="Inativo",C149="Encerrado"),'07_Regras_Complexidade'!$E$11,IF(COUNT(N149:Q149)&lt;4,'07_Regras_Complexidade'!$E$17,IF(SUM(N149:Q149)&lt;='07_Regras_Complexidade'!$D$12,'07_Regras_Complexidade'!$E$12,IF(SUM(N149:Q149)&lt;='07_Regras_Complexidade'!$D$13,'07_Regras_Complexidade'!$E$13,IF(SUM(N149:Q149)&lt;='07_Regras_Complexidade'!$D$14,'07_Regras_Complexidade'!$E$14,IF(SUM(N149:Q149)&lt;='07_Regras_Complexidade'!$D$15,'07_Regras_Complexidade'!$E$15,'07_Regras_Complexidade'!$E$16)))))))</x:f>
      </x:c>
      <x:c r="S149"/>
    </x:row>
    <x:row r="150">
      <x:c r="A150"/>
      <x:c r="B150"/>
      <x:c r="C150"/>
      <x:c r="D150"/>
      <x:c r="E150"/>
      <x:c r="F150"/>
      <x:c r="G150"/>
      <x:c r="H150"/>
      <x:c r="I150" s="13" t="str">
        <x:f>IF(B150="","",IF(COUNT(F150:H150)&lt;3,"",SUM(F150:H150)))</x:f>
      </x:c>
      <x:c r="J150"/>
      <x:c r="K150"/>
      <x:c r="L150"/>
      <x:c r="M150"/>
      <x:c r="N150" s="13" t="str">
        <x:f>IF(I150="","",IF(I150&lt;='07_Regras_Complexidade'!$C$21,'07_Regras_Complexidade'!$D$21,IF(I150&lt;='07_Regras_Complexidade'!$C$22,'07_Regras_Complexidade'!$D$22,'07_Regras_Complexidade'!$D$23)))</x:f>
      </x:c>
      <x:c r="O150"/>
      <x:c r="P150"/>
      <x:c r="Q150"/>
      <x:c r="R150" s="13" t="str">
        <x:f>IF(B150="","",IF(OR(C150="Sem movimento",C150="Inativo",C150="Encerrado"),'07_Regras_Complexidade'!$E$11,IF(COUNT(N150:Q150)&lt;4,'07_Regras_Complexidade'!$E$17,IF(SUM(N150:Q150)&lt;='07_Regras_Complexidade'!$D$12,'07_Regras_Complexidade'!$E$12,IF(SUM(N150:Q150)&lt;='07_Regras_Complexidade'!$D$13,'07_Regras_Complexidade'!$E$13,IF(SUM(N150:Q150)&lt;='07_Regras_Complexidade'!$D$14,'07_Regras_Complexidade'!$E$14,IF(SUM(N150:Q150)&lt;='07_Regras_Complexidade'!$D$15,'07_Regras_Complexidade'!$E$15,'07_Regras_Complexidade'!$E$16)))))))</x:f>
      </x:c>
      <x:c r="S150"/>
    </x:row>
    <x:row r="151">
      <x:c r="A151"/>
      <x:c r="B151"/>
      <x:c r="C151"/>
      <x:c r="D151"/>
      <x:c r="E151"/>
      <x:c r="F151"/>
      <x:c r="G151"/>
      <x:c r="H151"/>
      <x:c r="I151" s="13" t="str">
        <x:f>IF(B151="","",IF(COUNT(F151:H151)&lt;3,"",SUM(F151:H151)))</x:f>
      </x:c>
      <x:c r="J151"/>
      <x:c r="K151"/>
      <x:c r="L151"/>
      <x:c r="M151"/>
      <x:c r="N151" s="13" t="str">
        <x:f>IF(I151="","",IF(I151&lt;='07_Regras_Complexidade'!$C$21,'07_Regras_Complexidade'!$D$21,IF(I151&lt;='07_Regras_Complexidade'!$C$22,'07_Regras_Complexidade'!$D$22,'07_Regras_Complexidade'!$D$23)))</x:f>
      </x:c>
      <x:c r="O151"/>
      <x:c r="P151"/>
      <x:c r="Q151"/>
      <x:c r="R151" s="13" t="str">
        <x:f>IF(B151="","",IF(OR(C151="Sem movimento",C151="Inativo",C151="Encerrado"),'07_Regras_Complexidade'!$E$11,IF(COUNT(N151:Q151)&lt;4,'07_Regras_Complexidade'!$E$17,IF(SUM(N151:Q151)&lt;='07_Regras_Complexidade'!$D$12,'07_Regras_Complexidade'!$E$12,IF(SUM(N151:Q151)&lt;='07_Regras_Complexidade'!$D$13,'07_Regras_Complexidade'!$E$13,IF(SUM(N151:Q151)&lt;='07_Regras_Complexidade'!$D$14,'07_Regras_Complexidade'!$E$14,IF(SUM(N151:Q151)&lt;='07_Regras_Complexidade'!$D$15,'07_Regras_Complexidade'!$E$15,'07_Regras_Complexidade'!$E$16)))))))</x:f>
      </x:c>
      <x:c r="S151"/>
    </x:row>
    <x:row r="152">
      <x:c r="A152"/>
      <x:c r="B152"/>
      <x:c r="C152"/>
      <x:c r="D152"/>
      <x:c r="E152"/>
      <x:c r="F152"/>
      <x:c r="G152"/>
      <x:c r="H152"/>
      <x:c r="I152" s="13" t="str">
        <x:f>IF(B152="","",IF(COUNT(F152:H152)&lt;3,"",SUM(F152:H152)))</x:f>
      </x:c>
      <x:c r="J152"/>
      <x:c r="K152"/>
      <x:c r="L152"/>
      <x:c r="M152"/>
      <x:c r="N152" s="13" t="str">
        <x:f>IF(I152="","",IF(I152&lt;='07_Regras_Complexidade'!$C$21,'07_Regras_Complexidade'!$D$21,IF(I152&lt;='07_Regras_Complexidade'!$C$22,'07_Regras_Complexidade'!$D$22,'07_Regras_Complexidade'!$D$23)))</x:f>
      </x:c>
      <x:c r="O152"/>
      <x:c r="P152"/>
      <x:c r="Q152"/>
      <x:c r="R152" s="13" t="str">
        <x:f>IF(B152="","",IF(OR(C152="Sem movimento",C152="Inativo",C152="Encerrado"),'07_Regras_Complexidade'!$E$11,IF(COUNT(N152:Q152)&lt;4,'07_Regras_Complexidade'!$E$17,IF(SUM(N152:Q152)&lt;='07_Regras_Complexidade'!$D$12,'07_Regras_Complexidade'!$E$12,IF(SUM(N152:Q152)&lt;='07_Regras_Complexidade'!$D$13,'07_Regras_Complexidade'!$E$13,IF(SUM(N152:Q152)&lt;='07_Regras_Complexidade'!$D$14,'07_Regras_Complexidade'!$E$14,IF(SUM(N152:Q152)&lt;='07_Regras_Complexidade'!$D$15,'07_Regras_Complexidade'!$E$15,'07_Regras_Complexidade'!$E$16)))))))</x:f>
      </x:c>
      <x:c r="S152"/>
    </x:row>
    <x:row r="153">
      <x:c r="A153"/>
      <x:c r="B153"/>
      <x:c r="C153"/>
      <x:c r="D153"/>
      <x:c r="E153"/>
      <x:c r="F153"/>
      <x:c r="G153"/>
      <x:c r="H153"/>
      <x:c r="I153" s="13" t="str">
        <x:f>IF(B153="","",IF(COUNT(F153:H153)&lt;3,"",SUM(F153:H153)))</x:f>
      </x:c>
      <x:c r="J153"/>
      <x:c r="K153"/>
      <x:c r="L153"/>
      <x:c r="M153"/>
      <x:c r="N153" s="13" t="str">
        <x:f>IF(I153="","",IF(I153&lt;='07_Regras_Complexidade'!$C$21,'07_Regras_Complexidade'!$D$21,IF(I153&lt;='07_Regras_Complexidade'!$C$22,'07_Regras_Complexidade'!$D$22,'07_Regras_Complexidade'!$D$23)))</x:f>
      </x:c>
      <x:c r="O153"/>
      <x:c r="P153"/>
      <x:c r="Q153"/>
      <x:c r="R153" s="13" t="str">
        <x:f>IF(B153="","",IF(OR(C153="Sem movimento",C153="Inativo",C153="Encerrado"),'07_Regras_Complexidade'!$E$11,IF(COUNT(N153:Q153)&lt;4,'07_Regras_Complexidade'!$E$17,IF(SUM(N153:Q153)&lt;='07_Regras_Complexidade'!$D$12,'07_Regras_Complexidade'!$E$12,IF(SUM(N153:Q153)&lt;='07_Regras_Complexidade'!$D$13,'07_Regras_Complexidade'!$E$13,IF(SUM(N153:Q153)&lt;='07_Regras_Complexidade'!$D$14,'07_Regras_Complexidade'!$E$14,IF(SUM(N153:Q153)&lt;='07_Regras_Complexidade'!$D$15,'07_Regras_Complexidade'!$E$15,'07_Regras_Complexidade'!$E$16)))))))</x:f>
      </x:c>
      <x:c r="S153"/>
    </x:row>
    <x:row r="154">
      <x:c r="A154"/>
      <x:c r="B154"/>
      <x:c r="C154"/>
      <x:c r="D154"/>
      <x:c r="E154"/>
      <x:c r="F154"/>
      <x:c r="G154"/>
      <x:c r="H154"/>
      <x:c r="I154" s="13" t="str">
        <x:f>IF(B154="","",IF(COUNT(F154:H154)&lt;3,"",SUM(F154:H154)))</x:f>
      </x:c>
      <x:c r="J154"/>
      <x:c r="K154"/>
      <x:c r="L154"/>
      <x:c r="M154"/>
      <x:c r="N154" s="13" t="str">
        <x:f>IF(I154="","",IF(I154&lt;='07_Regras_Complexidade'!$C$21,'07_Regras_Complexidade'!$D$21,IF(I154&lt;='07_Regras_Complexidade'!$C$22,'07_Regras_Complexidade'!$D$22,'07_Regras_Complexidade'!$D$23)))</x:f>
      </x:c>
      <x:c r="O154"/>
      <x:c r="P154"/>
      <x:c r="Q154"/>
      <x:c r="R154" s="13" t="str">
        <x:f>IF(B154="","",IF(OR(C154="Sem movimento",C154="Inativo",C154="Encerrado"),'07_Regras_Complexidade'!$E$11,IF(COUNT(N154:Q154)&lt;4,'07_Regras_Complexidade'!$E$17,IF(SUM(N154:Q154)&lt;='07_Regras_Complexidade'!$D$12,'07_Regras_Complexidade'!$E$12,IF(SUM(N154:Q154)&lt;='07_Regras_Complexidade'!$D$13,'07_Regras_Complexidade'!$E$13,IF(SUM(N154:Q154)&lt;='07_Regras_Complexidade'!$D$14,'07_Regras_Complexidade'!$E$14,IF(SUM(N154:Q154)&lt;='07_Regras_Complexidade'!$D$15,'07_Regras_Complexidade'!$E$15,'07_Regras_Complexidade'!$E$16)))))))</x:f>
      </x:c>
      <x:c r="S154"/>
    </x:row>
    <x:row r="155">
      <x:c r="A155"/>
      <x:c r="B155"/>
      <x:c r="C155"/>
      <x:c r="D155"/>
      <x:c r="E155"/>
      <x:c r="F155"/>
      <x:c r="G155"/>
      <x:c r="H155"/>
      <x:c r="I155" s="13" t="str">
        <x:f>IF(B155="","",IF(COUNT(F155:H155)&lt;3,"",SUM(F155:H155)))</x:f>
      </x:c>
      <x:c r="J155"/>
      <x:c r="K155"/>
      <x:c r="L155"/>
      <x:c r="M155"/>
      <x:c r="N155" s="13" t="str">
        <x:f>IF(I155="","",IF(I155&lt;='07_Regras_Complexidade'!$C$21,'07_Regras_Complexidade'!$D$21,IF(I155&lt;='07_Regras_Complexidade'!$C$22,'07_Regras_Complexidade'!$D$22,'07_Regras_Complexidade'!$D$23)))</x:f>
      </x:c>
      <x:c r="O155"/>
      <x:c r="P155"/>
      <x:c r="Q155"/>
      <x:c r="R155" s="13" t="str">
        <x:f>IF(B155="","",IF(OR(C155="Sem movimento",C155="Inativo",C155="Encerrado"),'07_Regras_Complexidade'!$E$11,IF(COUNT(N155:Q155)&lt;4,'07_Regras_Complexidade'!$E$17,IF(SUM(N155:Q155)&lt;='07_Regras_Complexidade'!$D$12,'07_Regras_Complexidade'!$E$12,IF(SUM(N155:Q155)&lt;='07_Regras_Complexidade'!$D$13,'07_Regras_Complexidade'!$E$13,IF(SUM(N155:Q155)&lt;='07_Regras_Complexidade'!$D$14,'07_Regras_Complexidade'!$E$14,IF(SUM(N155:Q155)&lt;='07_Regras_Complexidade'!$D$15,'07_Regras_Complexidade'!$E$15,'07_Regras_Complexidade'!$E$16)))))))</x:f>
      </x:c>
      <x:c r="S155"/>
    </x:row>
    <x:row r="156">
      <x:c r="A156"/>
      <x:c r="B156"/>
      <x:c r="C156"/>
      <x:c r="D156"/>
      <x:c r="E156"/>
      <x:c r="F156"/>
      <x:c r="G156"/>
      <x:c r="H156"/>
      <x:c r="I156" s="13" t="str">
        <x:f>IF(B156="","",IF(COUNT(F156:H156)&lt;3,"",SUM(F156:H156)))</x:f>
      </x:c>
      <x:c r="J156"/>
      <x:c r="K156"/>
      <x:c r="L156"/>
      <x:c r="M156"/>
      <x:c r="N156" s="13" t="str">
        <x:f>IF(I156="","",IF(I156&lt;='07_Regras_Complexidade'!$C$21,'07_Regras_Complexidade'!$D$21,IF(I156&lt;='07_Regras_Complexidade'!$C$22,'07_Regras_Complexidade'!$D$22,'07_Regras_Complexidade'!$D$23)))</x:f>
      </x:c>
      <x:c r="O156"/>
      <x:c r="P156"/>
      <x:c r="Q156"/>
      <x:c r="R156" s="13" t="str">
        <x:f>IF(B156="","",IF(OR(C156="Sem movimento",C156="Inativo",C156="Encerrado"),'07_Regras_Complexidade'!$E$11,IF(COUNT(N156:Q156)&lt;4,'07_Regras_Complexidade'!$E$17,IF(SUM(N156:Q156)&lt;='07_Regras_Complexidade'!$D$12,'07_Regras_Complexidade'!$E$12,IF(SUM(N156:Q156)&lt;='07_Regras_Complexidade'!$D$13,'07_Regras_Complexidade'!$E$13,IF(SUM(N156:Q156)&lt;='07_Regras_Complexidade'!$D$14,'07_Regras_Complexidade'!$E$14,IF(SUM(N156:Q156)&lt;='07_Regras_Complexidade'!$D$15,'07_Regras_Complexidade'!$E$15,'07_Regras_Complexidade'!$E$16)))))))</x:f>
      </x:c>
      <x:c r="S156"/>
    </x:row>
    <x:row r="157">
      <x:c r="A157"/>
      <x:c r="B157"/>
      <x:c r="C157"/>
      <x:c r="D157"/>
      <x:c r="E157"/>
      <x:c r="F157"/>
      <x:c r="G157"/>
      <x:c r="H157"/>
      <x:c r="I157" s="13" t="str">
        <x:f>IF(B157="","",IF(COUNT(F157:H157)&lt;3,"",SUM(F157:H157)))</x:f>
      </x:c>
      <x:c r="J157"/>
      <x:c r="K157"/>
      <x:c r="L157"/>
      <x:c r="M157"/>
      <x:c r="N157" s="13" t="str">
        <x:f>IF(I157="","",IF(I157&lt;='07_Regras_Complexidade'!$C$21,'07_Regras_Complexidade'!$D$21,IF(I157&lt;='07_Regras_Complexidade'!$C$22,'07_Regras_Complexidade'!$D$22,'07_Regras_Complexidade'!$D$23)))</x:f>
      </x:c>
      <x:c r="O157"/>
      <x:c r="P157"/>
      <x:c r="Q157"/>
      <x:c r="R157" s="13" t="str">
        <x:f>IF(B157="","",IF(OR(C157="Sem movimento",C157="Inativo",C157="Encerrado"),'07_Regras_Complexidade'!$E$11,IF(COUNT(N157:Q157)&lt;4,'07_Regras_Complexidade'!$E$17,IF(SUM(N157:Q157)&lt;='07_Regras_Complexidade'!$D$12,'07_Regras_Complexidade'!$E$12,IF(SUM(N157:Q157)&lt;='07_Regras_Complexidade'!$D$13,'07_Regras_Complexidade'!$E$13,IF(SUM(N157:Q157)&lt;='07_Regras_Complexidade'!$D$14,'07_Regras_Complexidade'!$E$14,IF(SUM(N157:Q157)&lt;='07_Regras_Complexidade'!$D$15,'07_Regras_Complexidade'!$E$15,'07_Regras_Complexidade'!$E$16)))))))</x:f>
      </x:c>
      <x:c r="S157"/>
    </x:row>
    <x:row r="158">
      <x:c r="A158"/>
      <x:c r="B158"/>
      <x:c r="C158"/>
      <x:c r="D158"/>
      <x:c r="E158"/>
      <x:c r="F158"/>
      <x:c r="G158"/>
      <x:c r="H158"/>
      <x:c r="I158" s="13" t="str">
        <x:f>IF(B158="","",IF(COUNT(F158:H158)&lt;3,"",SUM(F158:H158)))</x:f>
      </x:c>
      <x:c r="J158"/>
      <x:c r="K158"/>
      <x:c r="L158"/>
      <x:c r="M158"/>
      <x:c r="N158" s="13" t="str">
        <x:f>IF(I158="","",IF(I158&lt;='07_Regras_Complexidade'!$C$21,'07_Regras_Complexidade'!$D$21,IF(I158&lt;='07_Regras_Complexidade'!$C$22,'07_Regras_Complexidade'!$D$22,'07_Regras_Complexidade'!$D$23)))</x:f>
      </x:c>
      <x:c r="O158"/>
      <x:c r="P158"/>
      <x:c r="Q158"/>
      <x:c r="R158" s="13" t="str">
        <x:f>IF(B158="","",IF(OR(C158="Sem movimento",C158="Inativo",C158="Encerrado"),'07_Regras_Complexidade'!$E$11,IF(COUNT(N158:Q158)&lt;4,'07_Regras_Complexidade'!$E$17,IF(SUM(N158:Q158)&lt;='07_Regras_Complexidade'!$D$12,'07_Regras_Complexidade'!$E$12,IF(SUM(N158:Q158)&lt;='07_Regras_Complexidade'!$D$13,'07_Regras_Complexidade'!$E$13,IF(SUM(N158:Q158)&lt;='07_Regras_Complexidade'!$D$14,'07_Regras_Complexidade'!$E$14,IF(SUM(N158:Q158)&lt;='07_Regras_Complexidade'!$D$15,'07_Regras_Complexidade'!$E$15,'07_Regras_Complexidade'!$E$16)))))))</x:f>
      </x:c>
      <x:c r="S158"/>
    </x:row>
    <x:row r="159">
      <x:c r="A159"/>
      <x:c r="B159"/>
      <x:c r="C159"/>
      <x:c r="D159"/>
      <x:c r="E159"/>
      <x:c r="F159"/>
      <x:c r="G159"/>
      <x:c r="H159"/>
      <x:c r="I159" s="13" t="str">
        <x:f>IF(B159="","",IF(COUNT(F159:H159)&lt;3,"",SUM(F159:H159)))</x:f>
      </x:c>
      <x:c r="J159"/>
      <x:c r="K159"/>
      <x:c r="L159"/>
      <x:c r="M159"/>
      <x:c r="N159" s="13" t="str">
        <x:f>IF(I159="","",IF(I159&lt;='07_Regras_Complexidade'!$C$21,'07_Regras_Complexidade'!$D$21,IF(I159&lt;='07_Regras_Complexidade'!$C$22,'07_Regras_Complexidade'!$D$22,'07_Regras_Complexidade'!$D$23)))</x:f>
      </x:c>
      <x:c r="O159"/>
      <x:c r="P159"/>
      <x:c r="Q159"/>
      <x:c r="R159" s="13" t="str">
        <x:f>IF(B159="","",IF(OR(C159="Sem movimento",C159="Inativo",C159="Encerrado"),'07_Regras_Complexidade'!$E$11,IF(COUNT(N159:Q159)&lt;4,'07_Regras_Complexidade'!$E$17,IF(SUM(N159:Q159)&lt;='07_Regras_Complexidade'!$D$12,'07_Regras_Complexidade'!$E$12,IF(SUM(N159:Q159)&lt;='07_Regras_Complexidade'!$D$13,'07_Regras_Complexidade'!$E$13,IF(SUM(N159:Q159)&lt;='07_Regras_Complexidade'!$D$14,'07_Regras_Complexidade'!$E$14,IF(SUM(N159:Q159)&lt;='07_Regras_Complexidade'!$D$15,'07_Regras_Complexidade'!$E$15,'07_Regras_Complexidade'!$E$16)))))))</x:f>
      </x:c>
      <x:c r="S159"/>
    </x:row>
    <x:row r="160">
      <x:c r="A160"/>
      <x:c r="B160"/>
      <x:c r="C160"/>
      <x:c r="D160"/>
      <x:c r="E160"/>
      <x:c r="F160"/>
      <x:c r="G160"/>
      <x:c r="H160"/>
      <x:c r="I160" s="13" t="str">
        <x:f>IF(B160="","",IF(COUNT(F160:H160)&lt;3,"",SUM(F160:H160)))</x:f>
      </x:c>
      <x:c r="J160"/>
      <x:c r="K160"/>
      <x:c r="L160"/>
      <x:c r="M160"/>
      <x:c r="N160" s="13" t="str">
        <x:f>IF(I160="","",IF(I160&lt;='07_Regras_Complexidade'!$C$21,'07_Regras_Complexidade'!$D$21,IF(I160&lt;='07_Regras_Complexidade'!$C$22,'07_Regras_Complexidade'!$D$22,'07_Regras_Complexidade'!$D$23)))</x:f>
      </x:c>
      <x:c r="O160"/>
      <x:c r="P160"/>
      <x:c r="Q160"/>
      <x:c r="R160" s="13" t="str">
        <x:f>IF(B160="","",IF(OR(C160="Sem movimento",C160="Inativo",C160="Encerrado"),'07_Regras_Complexidade'!$E$11,IF(COUNT(N160:Q160)&lt;4,'07_Regras_Complexidade'!$E$17,IF(SUM(N160:Q160)&lt;='07_Regras_Complexidade'!$D$12,'07_Regras_Complexidade'!$E$12,IF(SUM(N160:Q160)&lt;='07_Regras_Complexidade'!$D$13,'07_Regras_Complexidade'!$E$13,IF(SUM(N160:Q160)&lt;='07_Regras_Complexidade'!$D$14,'07_Regras_Complexidade'!$E$14,IF(SUM(N160:Q160)&lt;='07_Regras_Complexidade'!$D$15,'07_Regras_Complexidade'!$E$15,'07_Regras_Complexidade'!$E$16)))))))</x:f>
      </x:c>
      <x:c r="S160"/>
    </x:row>
    <x:row r="161">
      <x:c r="A161"/>
      <x:c r="B161"/>
      <x:c r="C161"/>
      <x:c r="D161"/>
      <x:c r="E161"/>
      <x:c r="F161"/>
      <x:c r="G161"/>
      <x:c r="H161"/>
      <x:c r="I161" s="13" t="str">
        <x:f>IF(B161="","",IF(COUNT(F161:H161)&lt;3,"",SUM(F161:H161)))</x:f>
      </x:c>
      <x:c r="J161"/>
      <x:c r="K161"/>
      <x:c r="L161"/>
      <x:c r="M161"/>
      <x:c r="N161" s="13" t="str">
        <x:f>IF(I161="","",IF(I161&lt;='07_Regras_Complexidade'!$C$21,'07_Regras_Complexidade'!$D$21,IF(I161&lt;='07_Regras_Complexidade'!$C$22,'07_Regras_Complexidade'!$D$22,'07_Regras_Complexidade'!$D$23)))</x:f>
      </x:c>
      <x:c r="O161"/>
      <x:c r="P161"/>
      <x:c r="Q161"/>
      <x:c r="R161" s="13" t="str">
        <x:f>IF(B161="","",IF(OR(C161="Sem movimento",C161="Inativo",C161="Encerrado"),'07_Regras_Complexidade'!$E$11,IF(COUNT(N161:Q161)&lt;4,'07_Regras_Complexidade'!$E$17,IF(SUM(N161:Q161)&lt;='07_Regras_Complexidade'!$D$12,'07_Regras_Complexidade'!$E$12,IF(SUM(N161:Q161)&lt;='07_Regras_Complexidade'!$D$13,'07_Regras_Complexidade'!$E$13,IF(SUM(N161:Q161)&lt;='07_Regras_Complexidade'!$D$14,'07_Regras_Complexidade'!$E$14,IF(SUM(N161:Q161)&lt;='07_Regras_Complexidade'!$D$15,'07_Regras_Complexidade'!$E$15,'07_Regras_Complexidade'!$E$16)))))))</x:f>
      </x:c>
      <x:c r="S161"/>
    </x:row>
    <x:row r="162">
      <x:c r="A162"/>
      <x:c r="B162"/>
      <x:c r="C162"/>
      <x:c r="D162"/>
      <x:c r="E162"/>
      <x:c r="F162"/>
      <x:c r="G162"/>
      <x:c r="H162"/>
      <x:c r="I162" s="13" t="str">
        <x:f>IF(B162="","",IF(COUNT(F162:H162)&lt;3,"",SUM(F162:H162)))</x:f>
      </x:c>
      <x:c r="J162"/>
      <x:c r="K162"/>
      <x:c r="L162"/>
      <x:c r="M162"/>
      <x:c r="N162" s="13" t="str">
        <x:f>IF(I162="","",IF(I162&lt;='07_Regras_Complexidade'!$C$21,'07_Regras_Complexidade'!$D$21,IF(I162&lt;='07_Regras_Complexidade'!$C$22,'07_Regras_Complexidade'!$D$22,'07_Regras_Complexidade'!$D$23)))</x:f>
      </x:c>
      <x:c r="O162"/>
      <x:c r="P162"/>
      <x:c r="Q162"/>
      <x:c r="R162" s="13" t="str">
        <x:f>IF(B162="","",IF(OR(C162="Sem movimento",C162="Inativo",C162="Encerrado"),'07_Regras_Complexidade'!$E$11,IF(COUNT(N162:Q162)&lt;4,'07_Regras_Complexidade'!$E$17,IF(SUM(N162:Q162)&lt;='07_Regras_Complexidade'!$D$12,'07_Regras_Complexidade'!$E$12,IF(SUM(N162:Q162)&lt;='07_Regras_Complexidade'!$D$13,'07_Regras_Complexidade'!$E$13,IF(SUM(N162:Q162)&lt;='07_Regras_Complexidade'!$D$14,'07_Regras_Complexidade'!$E$14,IF(SUM(N162:Q162)&lt;='07_Regras_Complexidade'!$D$15,'07_Regras_Complexidade'!$E$15,'07_Regras_Complexidade'!$E$16)))))))</x:f>
      </x:c>
      <x:c r="S162"/>
    </x:row>
    <x:row r="163">
      <x:c r="A163"/>
      <x:c r="B163"/>
      <x:c r="C163"/>
      <x:c r="D163"/>
      <x:c r="E163"/>
      <x:c r="F163"/>
      <x:c r="G163"/>
      <x:c r="H163"/>
      <x:c r="I163" s="13" t="str">
        <x:f>IF(B163="","",IF(COUNT(F163:H163)&lt;3,"",SUM(F163:H163)))</x:f>
      </x:c>
      <x:c r="J163"/>
      <x:c r="K163"/>
      <x:c r="L163"/>
      <x:c r="M163"/>
      <x:c r="N163" s="13" t="str">
        <x:f>IF(I163="","",IF(I163&lt;='07_Regras_Complexidade'!$C$21,'07_Regras_Complexidade'!$D$21,IF(I163&lt;='07_Regras_Complexidade'!$C$22,'07_Regras_Complexidade'!$D$22,'07_Regras_Complexidade'!$D$23)))</x:f>
      </x:c>
      <x:c r="O163"/>
      <x:c r="P163"/>
      <x:c r="Q163"/>
      <x:c r="R163" s="13" t="str">
        <x:f>IF(B163="","",IF(OR(C163="Sem movimento",C163="Inativo",C163="Encerrado"),'07_Regras_Complexidade'!$E$11,IF(COUNT(N163:Q163)&lt;4,'07_Regras_Complexidade'!$E$17,IF(SUM(N163:Q163)&lt;='07_Regras_Complexidade'!$D$12,'07_Regras_Complexidade'!$E$12,IF(SUM(N163:Q163)&lt;='07_Regras_Complexidade'!$D$13,'07_Regras_Complexidade'!$E$13,IF(SUM(N163:Q163)&lt;='07_Regras_Complexidade'!$D$14,'07_Regras_Complexidade'!$E$14,IF(SUM(N163:Q163)&lt;='07_Regras_Complexidade'!$D$15,'07_Regras_Complexidade'!$E$15,'07_Regras_Complexidade'!$E$16)))))))</x:f>
      </x:c>
      <x:c r="S163"/>
    </x:row>
    <x:row r="164">
      <x:c r="A164"/>
      <x:c r="B164"/>
      <x:c r="C164"/>
      <x:c r="D164"/>
      <x:c r="E164"/>
      <x:c r="F164"/>
      <x:c r="G164"/>
      <x:c r="H164"/>
      <x:c r="I164" s="13" t="str">
        <x:f>IF(B164="","",IF(COUNT(F164:H164)&lt;3,"",SUM(F164:H164)))</x:f>
      </x:c>
      <x:c r="J164"/>
      <x:c r="K164"/>
      <x:c r="L164"/>
      <x:c r="M164"/>
      <x:c r="N164" s="13" t="str">
        <x:f>IF(I164="","",IF(I164&lt;='07_Regras_Complexidade'!$C$21,'07_Regras_Complexidade'!$D$21,IF(I164&lt;='07_Regras_Complexidade'!$C$22,'07_Regras_Complexidade'!$D$22,'07_Regras_Complexidade'!$D$23)))</x:f>
      </x:c>
      <x:c r="O164"/>
      <x:c r="P164"/>
      <x:c r="Q164"/>
      <x:c r="R164" s="13" t="str">
        <x:f>IF(B164="","",IF(OR(C164="Sem movimento",C164="Inativo",C164="Encerrado"),'07_Regras_Complexidade'!$E$11,IF(COUNT(N164:Q164)&lt;4,'07_Regras_Complexidade'!$E$17,IF(SUM(N164:Q164)&lt;='07_Regras_Complexidade'!$D$12,'07_Regras_Complexidade'!$E$12,IF(SUM(N164:Q164)&lt;='07_Regras_Complexidade'!$D$13,'07_Regras_Complexidade'!$E$13,IF(SUM(N164:Q164)&lt;='07_Regras_Complexidade'!$D$14,'07_Regras_Complexidade'!$E$14,IF(SUM(N164:Q164)&lt;='07_Regras_Complexidade'!$D$15,'07_Regras_Complexidade'!$E$15,'07_Regras_Complexidade'!$E$16)))))))</x:f>
      </x:c>
      <x:c r="S164"/>
    </x:row>
    <x:row r="165">
      <x:c r="A165"/>
      <x:c r="B165"/>
      <x:c r="C165"/>
      <x:c r="D165"/>
      <x:c r="E165"/>
      <x:c r="F165"/>
      <x:c r="G165"/>
      <x:c r="H165"/>
      <x:c r="I165" s="13" t="str">
        <x:f>IF(B165="","",IF(COUNT(F165:H165)&lt;3,"",SUM(F165:H165)))</x:f>
      </x:c>
      <x:c r="J165"/>
      <x:c r="K165"/>
      <x:c r="L165"/>
      <x:c r="M165"/>
      <x:c r="N165" s="13" t="str">
        <x:f>IF(I165="","",IF(I165&lt;='07_Regras_Complexidade'!$C$21,'07_Regras_Complexidade'!$D$21,IF(I165&lt;='07_Regras_Complexidade'!$C$22,'07_Regras_Complexidade'!$D$22,'07_Regras_Complexidade'!$D$23)))</x:f>
      </x:c>
      <x:c r="O165"/>
      <x:c r="P165"/>
      <x:c r="Q165"/>
      <x:c r="R165" s="13" t="str">
        <x:f>IF(B165="","",IF(OR(C165="Sem movimento",C165="Inativo",C165="Encerrado"),'07_Regras_Complexidade'!$E$11,IF(COUNT(N165:Q165)&lt;4,'07_Regras_Complexidade'!$E$17,IF(SUM(N165:Q165)&lt;='07_Regras_Complexidade'!$D$12,'07_Regras_Complexidade'!$E$12,IF(SUM(N165:Q165)&lt;='07_Regras_Complexidade'!$D$13,'07_Regras_Complexidade'!$E$13,IF(SUM(N165:Q165)&lt;='07_Regras_Complexidade'!$D$14,'07_Regras_Complexidade'!$E$14,IF(SUM(N165:Q165)&lt;='07_Regras_Complexidade'!$D$15,'07_Regras_Complexidade'!$E$15,'07_Regras_Complexidade'!$E$16)))))))</x:f>
      </x:c>
      <x:c r="S165"/>
    </x:row>
    <x:row r="166">
      <x:c r="A166"/>
      <x:c r="B166"/>
      <x:c r="C166"/>
      <x:c r="D166"/>
      <x:c r="E166"/>
      <x:c r="F166"/>
      <x:c r="G166"/>
      <x:c r="H166"/>
      <x:c r="I166" s="13" t="str">
        <x:f>IF(B166="","",IF(COUNT(F166:H166)&lt;3,"",SUM(F166:H166)))</x:f>
      </x:c>
      <x:c r="J166"/>
      <x:c r="K166"/>
      <x:c r="L166"/>
      <x:c r="M166"/>
      <x:c r="N166" s="13" t="str">
        <x:f>IF(I166="","",IF(I166&lt;='07_Regras_Complexidade'!$C$21,'07_Regras_Complexidade'!$D$21,IF(I166&lt;='07_Regras_Complexidade'!$C$22,'07_Regras_Complexidade'!$D$22,'07_Regras_Complexidade'!$D$23)))</x:f>
      </x:c>
      <x:c r="O166"/>
      <x:c r="P166"/>
      <x:c r="Q166"/>
      <x:c r="R166" s="13" t="str">
        <x:f>IF(B166="","",IF(OR(C166="Sem movimento",C166="Inativo",C166="Encerrado"),'07_Regras_Complexidade'!$E$11,IF(COUNT(N166:Q166)&lt;4,'07_Regras_Complexidade'!$E$17,IF(SUM(N166:Q166)&lt;='07_Regras_Complexidade'!$D$12,'07_Regras_Complexidade'!$E$12,IF(SUM(N166:Q166)&lt;='07_Regras_Complexidade'!$D$13,'07_Regras_Complexidade'!$E$13,IF(SUM(N166:Q166)&lt;='07_Regras_Complexidade'!$D$14,'07_Regras_Complexidade'!$E$14,IF(SUM(N166:Q166)&lt;='07_Regras_Complexidade'!$D$15,'07_Regras_Complexidade'!$E$15,'07_Regras_Complexidade'!$E$16)))))))</x:f>
      </x:c>
      <x:c r="S166"/>
    </x:row>
    <x:row r="167">
      <x:c r="A167"/>
      <x:c r="B167"/>
      <x:c r="C167"/>
      <x:c r="D167"/>
      <x:c r="E167"/>
      <x:c r="F167"/>
      <x:c r="G167"/>
      <x:c r="H167"/>
      <x:c r="I167" s="13" t="str">
        <x:f>IF(B167="","",IF(COUNT(F167:H167)&lt;3,"",SUM(F167:H167)))</x:f>
      </x:c>
      <x:c r="J167"/>
      <x:c r="K167"/>
      <x:c r="L167"/>
      <x:c r="M167"/>
      <x:c r="N167" s="13" t="str">
        <x:f>IF(I167="","",IF(I167&lt;='07_Regras_Complexidade'!$C$21,'07_Regras_Complexidade'!$D$21,IF(I167&lt;='07_Regras_Complexidade'!$C$22,'07_Regras_Complexidade'!$D$22,'07_Regras_Complexidade'!$D$23)))</x:f>
      </x:c>
      <x:c r="O167"/>
      <x:c r="P167"/>
      <x:c r="Q167"/>
      <x:c r="R167" s="13" t="str">
        <x:f>IF(B167="","",IF(OR(C167="Sem movimento",C167="Inativo",C167="Encerrado"),'07_Regras_Complexidade'!$E$11,IF(COUNT(N167:Q167)&lt;4,'07_Regras_Complexidade'!$E$17,IF(SUM(N167:Q167)&lt;='07_Regras_Complexidade'!$D$12,'07_Regras_Complexidade'!$E$12,IF(SUM(N167:Q167)&lt;='07_Regras_Complexidade'!$D$13,'07_Regras_Complexidade'!$E$13,IF(SUM(N167:Q167)&lt;='07_Regras_Complexidade'!$D$14,'07_Regras_Complexidade'!$E$14,IF(SUM(N167:Q167)&lt;='07_Regras_Complexidade'!$D$15,'07_Regras_Complexidade'!$E$15,'07_Regras_Complexidade'!$E$16)))))))</x:f>
      </x:c>
      <x:c r="S167"/>
    </x:row>
    <x:row r="168">
      <x:c r="A168"/>
      <x:c r="B168"/>
      <x:c r="C168"/>
      <x:c r="D168"/>
      <x:c r="E168"/>
      <x:c r="F168"/>
      <x:c r="G168"/>
      <x:c r="H168"/>
      <x:c r="I168" s="13" t="str">
        <x:f>IF(B168="","",IF(COUNT(F168:H168)&lt;3,"",SUM(F168:H168)))</x:f>
      </x:c>
      <x:c r="J168"/>
      <x:c r="K168"/>
      <x:c r="L168"/>
      <x:c r="M168"/>
      <x:c r="N168" s="13" t="str">
        <x:f>IF(I168="","",IF(I168&lt;='07_Regras_Complexidade'!$C$21,'07_Regras_Complexidade'!$D$21,IF(I168&lt;='07_Regras_Complexidade'!$C$22,'07_Regras_Complexidade'!$D$22,'07_Regras_Complexidade'!$D$23)))</x:f>
      </x:c>
      <x:c r="O168"/>
      <x:c r="P168"/>
      <x:c r="Q168"/>
      <x:c r="R168" s="13" t="str">
        <x:f>IF(B168="","",IF(OR(C168="Sem movimento",C168="Inativo",C168="Encerrado"),'07_Regras_Complexidade'!$E$11,IF(COUNT(N168:Q168)&lt;4,'07_Regras_Complexidade'!$E$17,IF(SUM(N168:Q168)&lt;='07_Regras_Complexidade'!$D$12,'07_Regras_Complexidade'!$E$12,IF(SUM(N168:Q168)&lt;='07_Regras_Complexidade'!$D$13,'07_Regras_Complexidade'!$E$13,IF(SUM(N168:Q168)&lt;='07_Regras_Complexidade'!$D$14,'07_Regras_Complexidade'!$E$14,IF(SUM(N168:Q168)&lt;='07_Regras_Complexidade'!$D$15,'07_Regras_Complexidade'!$E$15,'07_Regras_Complexidade'!$E$16)))))))</x:f>
      </x:c>
      <x:c r="S168"/>
    </x:row>
    <x:row r="169">
      <x:c r="A169"/>
      <x:c r="B169"/>
      <x:c r="C169"/>
      <x:c r="D169"/>
      <x:c r="E169"/>
      <x:c r="F169"/>
      <x:c r="G169"/>
      <x:c r="H169"/>
      <x:c r="I169" s="13" t="str">
        <x:f>IF(B169="","",IF(COUNT(F169:H169)&lt;3,"",SUM(F169:H169)))</x:f>
      </x:c>
      <x:c r="J169"/>
      <x:c r="K169"/>
      <x:c r="L169"/>
      <x:c r="M169"/>
      <x:c r="N169" s="13" t="str">
        <x:f>IF(I169="","",IF(I169&lt;='07_Regras_Complexidade'!$C$21,'07_Regras_Complexidade'!$D$21,IF(I169&lt;='07_Regras_Complexidade'!$C$22,'07_Regras_Complexidade'!$D$22,'07_Regras_Complexidade'!$D$23)))</x:f>
      </x:c>
      <x:c r="O169"/>
      <x:c r="P169"/>
      <x:c r="Q169"/>
      <x:c r="R169" s="13" t="str">
        <x:f>IF(B169="","",IF(OR(C169="Sem movimento",C169="Inativo",C169="Encerrado"),'07_Regras_Complexidade'!$E$11,IF(COUNT(N169:Q169)&lt;4,'07_Regras_Complexidade'!$E$17,IF(SUM(N169:Q169)&lt;='07_Regras_Complexidade'!$D$12,'07_Regras_Complexidade'!$E$12,IF(SUM(N169:Q169)&lt;='07_Regras_Complexidade'!$D$13,'07_Regras_Complexidade'!$E$13,IF(SUM(N169:Q169)&lt;='07_Regras_Complexidade'!$D$14,'07_Regras_Complexidade'!$E$14,IF(SUM(N169:Q169)&lt;='07_Regras_Complexidade'!$D$15,'07_Regras_Complexidade'!$E$15,'07_Regras_Complexidade'!$E$16)))))))</x:f>
      </x:c>
      <x:c r="S169"/>
    </x:row>
    <x:row r="170">
      <x:c r="A170"/>
      <x:c r="B170"/>
      <x:c r="C170"/>
      <x:c r="D170"/>
      <x:c r="E170"/>
      <x:c r="F170"/>
      <x:c r="G170"/>
      <x:c r="H170"/>
      <x:c r="I170" s="13" t="str">
        <x:f>IF(B170="","",IF(COUNT(F170:H170)&lt;3,"",SUM(F170:H170)))</x:f>
      </x:c>
      <x:c r="J170"/>
      <x:c r="K170"/>
      <x:c r="L170"/>
      <x:c r="M170"/>
      <x:c r="N170" s="13" t="str">
        <x:f>IF(I170="","",IF(I170&lt;='07_Regras_Complexidade'!$C$21,'07_Regras_Complexidade'!$D$21,IF(I170&lt;='07_Regras_Complexidade'!$C$22,'07_Regras_Complexidade'!$D$22,'07_Regras_Complexidade'!$D$23)))</x:f>
      </x:c>
      <x:c r="O170"/>
      <x:c r="P170"/>
      <x:c r="Q170"/>
      <x:c r="R170" s="13" t="str">
        <x:f>IF(B170="","",IF(OR(C170="Sem movimento",C170="Inativo",C170="Encerrado"),'07_Regras_Complexidade'!$E$11,IF(COUNT(N170:Q170)&lt;4,'07_Regras_Complexidade'!$E$17,IF(SUM(N170:Q170)&lt;='07_Regras_Complexidade'!$D$12,'07_Regras_Complexidade'!$E$12,IF(SUM(N170:Q170)&lt;='07_Regras_Complexidade'!$D$13,'07_Regras_Complexidade'!$E$13,IF(SUM(N170:Q170)&lt;='07_Regras_Complexidade'!$D$14,'07_Regras_Complexidade'!$E$14,IF(SUM(N170:Q170)&lt;='07_Regras_Complexidade'!$D$15,'07_Regras_Complexidade'!$E$15,'07_Regras_Complexidade'!$E$16)))))))</x:f>
      </x:c>
      <x:c r="S170"/>
    </x:row>
    <x:row r="171">
      <x:c r="A171"/>
      <x:c r="B171"/>
      <x:c r="C171"/>
      <x:c r="D171"/>
      <x:c r="E171"/>
      <x:c r="F171"/>
      <x:c r="G171"/>
      <x:c r="H171"/>
      <x:c r="I171" s="13" t="str">
        <x:f>IF(B171="","",IF(COUNT(F171:H171)&lt;3,"",SUM(F171:H171)))</x:f>
      </x:c>
      <x:c r="J171"/>
      <x:c r="K171"/>
      <x:c r="L171"/>
      <x:c r="M171"/>
      <x:c r="N171" s="13" t="str">
        <x:f>IF(I171="","",IF(I171&lt;='07_Regras_Complexidade'!$C$21,'07_Regras_Complexidade'!$D$21,IF(I171&lt;='07_Regras_Complexidade'!$C$22,'07_Regras_Complexidade'!$D$22,'07_Regras_Complexidade'!$D$23)))</x:f>
      </x:c>
      <x:c r="O171"/>
      <x:c r="P171"/>
      <x:c r="Q171"/>
      <x:c r="R171" s="13" t="str">
        <x:f>IF(B171="","",IF(OR(C171="Sem movimento",C171="Inativo",C171="Encerrado"),'07_Regras_Complexidade'!$E$11,IF(COUNT(N171:Q171)&lt;4,'07_Regras_Complexidade'!$E$17,IF(SUM(N171:Q171)&lt;='07_Regras_Complexidade'!$D$12,'07_Regras_Complexidade'!$E$12,IF(SUM(N171:Q171)&lt;='07_Regras_Complexidade'!$D$13,'07_Regras_Complexidade'!$E$13,IF(SUM(N171:Q171)&lt;='07_Regras_Complexidade'!$D$14,'07_Regras_Complexidade'!$E$14,IF(SUM(N171:Q171)&lt;='07_Regras_Complexidade'!$D$15,'07_Regras_Complexidade'!$E$15,'07_Regras_Complexidade'!$E$16)))))))</x:f>
      </x:c>
      <x:c r="S171"/>
    </x:row>
    <x:row r="172">
      <x:c r="A172"/>
      <x:c r="B172"/>
      <x:c r="C172"/>
      <x:c r="D172"/>
      <x:c r="E172"/>
      <x:c r="F172"/>
      <x:c r="G172"/>
      <x:c r="H172"/>
      <x:c r="I172" s="13" t="str">
        <x:f>IF(B172="","",IF(COUNT(F172:H172)&lt;3,"",SUM(F172:H172)))</x:f>
      </x:c>
      <x:c r="J172"/>
      <x:c r="K172"/>
      <x:c r="L172"/>
      <x:c r="M172"/>
      <x:c r="N172" s="13" t="str">
        <x:f>IF(I172="","",IF(I172&lt;='07_Regras_Complexidade'!$C$21,'07_Regras_Complexidade'!$D$21,IF(I172&lt;='07_Regras_Complexidade'!$C$22,'07_Regras_Complexidade'!$D$22,'07_Regras_Complexidade'!$D$23)))</x:f>
      </x:c>
      <x:c r="O172"/>
      <x:c r="P172"/>
      <x:c r="Q172"/>
      <x:c r="R172" s="13" t="str">
        <x:f>IF(B172="","",IF(OR(C172="Sem movimento",C172="Inativo",C172="Encerrado"),'07_Regras_Complexidade'!$E$11,IF(COUNT(N172:Q172)&lt;4,'07_Regras_Complexidade'!$E$17,IF(SUM(N172:Q172)&lt;='07_Regras_Complexidade'!$D$12,'07_Regras_Complexidade'!$E$12,IF(SUM(N172:Q172)&lt;='07_Regras_Complexidade'!$D$13,'07_Regras_Complexidade'!$E$13,IF(SUM(N172:Q172)&lt;='07_Regras_Complexidade'!$D$14,'07_Regras_Complexidade'!$E$14,IF(SUM(N172:Q172)&lt;='07_Regras_Complexidade'!$D$15,'07_Regras_Complexidade'!$E$15,'07_Regras_Complexidade'!$E$16)))))))</x:f>
      </x:c>
      <x:c r="S172"/>
    </x:row>
    <x:row r="173">
      <x:c r="A173"/>
      <x:c r="B173"/>
      <x:c r="C173"/>
      <x:c r="D173"/>
      <x:c r="E173"/>
      <x:c r="F173"/>
      <x:c r="G173"/>
      <x:c r="H173"/>
      <x:c r="I173" s="13" t="str">
        <x:f>IF(B173="","",IF(COUNT(F173:H173)&lt;3,"",SUM(F173:H173)))</x:f>
      </x:c>
      <x:c r="J173"/>
      <x:c r="K173"/>
      <x:c r="L173"/>
      <x:c r="M173"/>
      <x:c r="N173" s="13" t="str">
        <x:f>IF(I173="","",IF(I173&lt;='07_Regras_Complexidade'!$C$21,'07_Regras_Complexidade'!$D$21,IF(I173&lt;='07_Regras_Complexidade'!$C$22,'07_Regras_Complexidade'!$D$22,'07_Regras_Complexidade'!$D$23)))</x:f>
      </x:c>
      <x:c r="O173"/>
      <x:c r="P173"/>
      <x:c r="Q173"/>
      <x:c r="R173" s="13" t="str">
        <x:f>IF(B173="","",IF(OR(C173="Sem movimento",C173="Inativo",C173="Encerrado"),'07_Regras_Complexidade'!$E$11,IF(COUNT(N173:Q173)&lt;4,'07_Regras_Complexidade'!$E$17,IF(SUM(N173:Q173)&lt;='07_Regras_Complexidade'!$D$12,'07_Regras_Complexidade'!$E$12,IF(SUM(N173:Q173)&lt;='07_Regras_Complexidade'!$D$13,'07_Regras_Complexidade'!$E$13,IF(SUM(N173:Q173)&lt;='07_Regras_Complexidade'!$D$14,'07_Regras_Complexidade'!$E$14,IF(SUM(N173:Q173)&lt;='07_Regras_Complexidade'!$D$15,'07_Regras_Complexidade'!$E$15,'07_Regras_Complexidade'!$E$16)))))))</x:f>
      </x:c>
      <x:c r="S173"/>
    </x:row>
    <x:row r="174">
      <x:c r="A174"/>
      <x:c r="B174"/>
      <x:c r="C174"/>
      <x:c r="D174"/>
      <x:c r="E174"/>
      <x:c r="F174"/>
      <x:c r="G174"/>
      <x:c r="H174"/>
      <x:c r="I174" s="13" t="str">
        <x:f>IF(B174="","",IF(COUNT(F174:H174)&lt;3,"",SUM(F174:H174)))</x:f>
      </x:c>
      <x:c r="J174"/>
      <x:c r="K174"/>
      <x:c r="L174"/>
      <x:c r="M174"/>
      <x:c r="N174" s="13" t="str">
        <x:f>IF(I174="","",IF(I174&lt;='07_Regras_Complexidade'!$C$21,'07_Regras_Complexidade'!$D$21,IF(I174&lt;='07_Regras_Complexidade'!$C$22,'07_Regras_Complexidade'!$D$22,'07_Regras_Complexidade'!$D$23)))</x:f>
      </x:c>
      <x:c r="O174"/>
      <x:c r="P174"/>
      <x:c r="Q174"/>
      <x:c r="R174" s="13" t="str">
        <x:f>IF(B174="","",IF(OR(C174="Sem movimento",C174="Inativo",C174="Encerrado"),'07_Regras_Complexidade'!$E$11,IF(COUNT(N174:Q174)&lt;4,'07_Regras_Complexidade'!$E$17,IF(SUM(N174:Q174)&lt;='07_Regras_Complexidade'!$D$12,'07_Regras_Complexidade'!$E$12,IF(SUM(N174:Q174)&lt;='07_Regras_Complexidade'!$D$13,'07_Regras_Complexidade'!$E$13,IF(SUM(N174:Q174)&lt;='07_Regras_Complexidade'!$D$14,'07_Regras_Complexidade'!$E$14,IF(SUM(N174:Q174)&lt;='07_Regras_Complexidade'!$D$15,'07_Regras_Complexidade'!$E$15,'07_Regras_Complexidade'!$E$16)))))))</x:f>
      </x:c>
      <x:c r="S174"/>
    </x:row>
    <x:row r="175">
      <x:c r="A175"/>
      <x:c r="B175"/>
      <x:c r="C175"/>
      <x:c r="D175"/>
      <x:c r="E175"/>
      <x:c r="F175"/>
      <x:c r="G175"/>
      <x:c r="H175"/>
      <x:c r="I175" s="13" t="str">
        <x:f>IF(B175="","",IF(COUNT(F175:H175)&lt;3,"",SUM(F175:H175)))</x:f>
      </x:c>
      <x:c r="J175"/>
      <x:c r="K175"/>
      <x:c r="L175"/>
      <x:c r="M175"/>
      <x:c r="N175" s="13" t="str">
        <x:f>IF(I175="","",IF(I175&lt;='07_Regras_Complexidade'!$C$21,'07_Regras_Complexidade'!$D$21,IF(I175&lt;='07_Regras_Complexidade'!$C$22,'07_Regras_Complexidade'!$D$22,'07_Regras_Complexidade'!$D$23)))</x:f>
      </x:c>
      <x:c r="O175"/>
      <x:c r="P175"/>
      <x:c r="Q175"/>
      <x:c r="R175" s="13" t="str">
        <x:f>IF(B175="","",IF(OR(C175="Sem movimento",C175="Inativo",C175="Encerrado"),'07_Regras_Complexidade'!$E$11,IF(COUNT(N175:Q175)&lt;4,'07_Regras_Complexidade'!$E$17,IF(SUM(N175:Q175)&lt;='07_Regras_Complexidade'!$D$12,'07_Regras_Complexidade'!$E$12,IF(SUM(N175:Q175)&lt;='07_Regras_Complexidade'!$D$13,'07_Regras_Complexidade'!$E$13,IF(SUM(N175:Q175)&lt;='07_Regras_Complexidade'!$D$14,'07_Regras_Complexidade'!$E$14,IF(SUM(N175:Q175)&lt;='07_Regras_Complexidade'!$D$15,'07_Regras_Complexidade'!$E$15,'07_Regras_Complexidade'!$E$16)))))))</x:f>
      </x:c>
      <x:c r="S175"/>
    </x:row>
    <x:row r="176">
      <x:c r="A176"/>
      <x:c r="B176"/>
      <x:c r="C176"/>
      <x:c r="D176"/>
      <x:c r="E176"/>
      <x:c r="F176"/>
      <x:c r="G176"/>
      <x:c r="H176"/>
      <x:c r="I176" s="13" t="str">
        <x:f>IF(B176="","",IF(COUNT(F176:H176)&lt;3,"",SUM(F176:H176)))</x:f>
      </x:c>
      <x:c r="J176"/>
      <x:c r="K176"/>
      <x:c r="L176"/>
      <x:c r="M176"/>
      <x:c r="N176" s="13" t="str">
        <x:f>IF(I176="","",IF(I176&lt;='07_Regras_Complexidade'!$C$21,'07_Regras_Complexidade'!$D$21,IF(I176&lt;='07_Regras_Complexidade'!$C$22,'07_Regras_Complexidade'!$D$22,'07_Regras_Complexidade'!$D$23)))</x:f>
      </x:c>
      <x:c r="O176"/>
      <x:c r="P176"/>
      <x:c r="Q176"/>
      <x:c r="R176" s="13" t="str">
        <x:f>IF(B176="","",IF(OR(C176="Sem movimento",C176="Inativo",C176="Encerrado"),'07_Regras_Complexidade'!$E$11,IF(COUNT(N176:Q176)&lt;4,'07_Regras_Complexidade'!$E$17,IF(SUM(N176:Q176)&lt;='07_Regras_Complexidade'!$D$12,'07_Regras_Complexidade'!$E$12,IF(SUM(N176:Q176)&lt;='07_Regras_Complexidade'!$D$13,'07_Regras_Complexidade'!$E$13,IF(SUM(N176:Q176)&lt;='07_Regras_Complexidade'!$D$14,'07_Regras_Complexidade'!$E$14,IF(SUM(N176:Q176)&lt;='07_Regras_Complexidade'!$D$15,'07_Regras_Complexidade'!$E$15,'07_Regras_Complexidade'!$E$16)))))))</x:f>
      </x:c>
      <x:c r="S176"/>
    </x:row>
    <x:row r="177">
      <x:c r="A177"/>
      <x:c r="B177"/>
      <x:c r="C177"/>
      <x:c r="D177"/>
      <x:c r="E177"/>
      <x:c r="F177"/>
      <x:c r="G177"/>
      <x:c r="H177"/>
      <x:c r="I177" s="13" t="str">
        <x:f>IF(B177="","",IF(COUNT(F177:H177)&lt;3,"",SUM(F177:H177)))</x:f>
      </x:c>
      <x:c r="J177"/>
      <x:c r="K177"/>
      <x:c r="L177"/>
      <x:c r="M177"/>
      <x:c r="N177" s="13" t="str">
        <x:f>IF(I177="","",IF(I177&lt;='07_Regras_Complexidade'!$C$21,'07_Regras_Complexidade'!$D$21,IF(I177&lt;='07_Regras_Complexidade'!$C$22,'07_Regras_Complexidade'!$D$22,'07_Regras_Complexidade'!$D$23)))</x:f>
      </x:c>
      <x:c r="O177"/>
      <x:c r="P177"/>
      <x:c r="Q177"/>
      <x:c r="R177" s="13" t="str">
        <x:f>IF(B177="","",IF(OR(C177="Sem movimento",C177="Inativo",C177="Encerrado"),'07_Regras_Complexidade'!$E$11,IF(COUNT(N177:Q177)&lt;4,'07_Regras_Complexidade'!$E$17,IF(SUM(N177:Q177)&lt;='07_Regras_Complexidade'!$D$12,'07_Regras_Complexidade'!$E$12,IF(SUM(N177:Q177)&lt;='07_Regras_Complexidade'!$D$13,'07_Regras_Complexidade'!$E$13,IF(SUM(N177:Q177)&lt;='07_Regras_Complexidade'!$D$14,'07_Regras_Complexidade'!$E$14,IF(SUM(N177:Q177)&lt;='07_Regras_Complexidade'!$D$15,'07_Regras_Complexidade'!$E$15,'07_Regras_Complexidade'!$E$16)))))))</x:f>
      </x:c>
      <x:c r="S177"/>
    </x:row>
    <x:row r="178">
      <x:c r="A178"/>
      <x:c r="B178"/>
      <x:c r="C178"/>
      <x:c r="D178"/>
      <x:c r="E178"/>
      <x:c r="F178"/>
      <x:c r="G178"/>
      <x:c r="H178"/>
      <x:c r="I178" s="13" t="str">
        <x:f>IF(B178="","",IF(COUNT(F178:H178)&lt;3,"",SUM(F178:H178)))</x:f>
      </x:c>
      <x:c r="J178"/>
      <x:c r="K178"/>
      <x:c r="L178"/>
      <x:c r="M178"/>
      <x:c r="N178" s="13" t="str">
        <x:f>IF(I178="","",IF(I178&lt;='07_Regras_Complexidade'!$C$21,'07_Regras_Complexidade'!$D$21,IF(I178&lt;='07_Regras_Complexidade'!$C$22,'07_Regras_Complexidade'!$D$22,'07_Regras_Complexidade'!$D$23)))</x:f>
      </x:c>
      <x:c r="O178"/>
      <x:c r="P178"/>
      <x:c r="Q178"/>
      <x:c r="R178" s="13" t="str">
        <x:f>IF(B178="","",IF(OR(C178="Sem movimento",C178="Inativo",C178="Encerrado"),'07_Regras_Complexidade'!$E$11,IF(COUNT(N178:Q178)&lt;4,'07_Regras_Complexidade'!$E$17,IF(SUM(N178:Q178)&lt;='07_Regras_Complexidade'!$D$12,'07_Regras_Complexidade'!$E$12,IF(SUM(N178:Q178)&lt;='07_Regras_Complexidade'!$D$13,'07_Regras_Complexidade'!$E$13,IF(SUM(N178:Q178)&lt;='07_Regras_Complexidade'!$D$14,'07_Regras_Complexidade'!$E$14,IF(SUM(N178:Q178)&lt;='07_Regras_Complexidade'!$D$15,'07_Regras_Complexidade'!$E$15,'07_Regras_Complexidade'!$E$16)))))))</x:f>
      </x:c>
      <x:c r="S178"/>
    </x:row>
    <x:row r="179">
      <x:c r="A179"/>
      <x:c r="B179"/>
      <x:c r="C179"/>
      <x:c r="D179"/>
      <x:c r="E179"/>
      <x:c r="F179"/>
      <x:c r="G179"/>
      <x:c r="H179"/>
      <x:c r="I179" s="13" t="str">
        <x:f>IF(B179="","",IF(COUNT(F179:H179)&lt;3,"",SUM(F179:H179)))</x:f>
      </x:c>
      <x:c r="J179"/>
      <x:c r="K179"/>
      <x:c r="L179"/>
      <x:c r="M179"/>
      <x:c r="N179" s="13" t="str">
        <x:f>IF(I179="","",IF(I179&lt;='07_Regras_Complexidade'!$C$21,'07_Regras_Complexidade'!$D$21,IF(I179&lt;='07_Regras_Complexidade'!$C$22,'07_Regras_Complexidade'!$D$22,'07_Regras_Complexidade'!$D$23)))</x:f>
      </x:c>
      <x:c r="O179"/>
      <x:c r="P179"/>
      <x:c r="Q179"/>
      <x:c r="R179" s="13" t="str">
        <x:f>IF(B179="","",IF(OR(C179="Sem movimento",C179="Inativo",C179="Encerrado"),'07_Regras_Complexidade'!$E$11,IF(COUNT(N179:Q179)&lt;4,'07_Regras_Complexidade'!$E$17,IF(SUM(N179:Q179)&lt;='07_Regras_Complexidade'!$D$12,'07_Regras_Complexidade'!$E$12,IF(SUM(N179:Q179)&lt;='07_Regras_Complexidade'!$D$13,'07_Regras_Complexidade'!$E$13,IF(SUM(N179:Q179)&lt;='07_Regras_Complexidade'!$D$14,'07_Regras_Complexidade'!$E$14,IF(SUM(N179:Q179)&lt;='07_Regras_Complexidade'!$D$15,'07_Regras_Complexidade'!$E$15,'07_Regras_Complexidade'!$E$16)))))))</x:f>
      </x:c>
      <x:c r="S179"/>
    </x:row>
    <x:row r="180">
      <x:c r="A180"/>
      <x:c r="B180"/>
      <x:c r="C180"/>
      <x:c r="D180"/>
      <x:c r="E180"/>
      <x:c r="F180"/>
      <x:c r="G180"/>
      <x:c r="H180"/>
      <x:c r="I180" s="13" t="str">
        <x:f>IF(B180="","",IF(COUNT(F180:H180)&lt;3,"",SUM(F180:H180)))</x:f>
      </x:c>
      <x:c r="J180"/>
      <x:c r="K180"/>
      <x:c r="L180"/>
      <x:c r="M180"/>
      <x:c r="N180" s="13" t="str">
        <x:f>IF(I180="","",IF(I180&lt;='07_Regras_Complexidade'!$C$21,'07_Regras_Complexidade'!$D$21,IF(I180&lt;='07_Regras_Complexidade'!$C$22,'07_Regras_Complexidade'!$D$22,'07_Regras_Complexidade'!$D$23)))</x:f>
      </x:c>
      <x:c r="O180"/>
      <x:c r="P180"/>
      <x:c r="Q180"/>
      <x:c r="R180" s="13" t="str">
        <x:f>IF(B180="","",IF(OR(C180="Sem movimento",C180="Inativo",C180="Encerrado"),'07_Regras_Complexidade'!$E$11,IF(COUNT(N180:Q180)&lt;4,'07_Regras_Complexidade'!$E$17,IF(SUM(N180:Q180)&lt;='07_Regras_Complexidade'!$D$12,'07_Regras_Complexidade'!$E$12,IF(SUM(N180:Q180)&lt;='07_Regras_Complexidade'!$D$13,'07_Regras_Complexidade'!$E$13,IF(SUM(N180:Q180)&lt;='07_Regras_Complexidade'!$D$14,'07_Regras_Complexidade'!$E$14,IF(SUM(N180:Q180)&lt;='07_Regras_Complexidade'!$D$15,'07_Regras_Complexidade'!$E$15,'07_Regras_Complexidade'!$E$16)))))))</x:f>
      </x:c>
      <x:c r="S180"/>
    </x:row>
    <x:row r="181">
      <x:c r="A181"/>
      <x:c r="B181"/>
      <x:c r="C181"/>
      <x:c r="D181"/>
      <x:c r="E181"/>
      <x:c r="F181"/>
      <x:c r="G181"/>
      <x:c r="H181"/>
      <x:c r="I181" s="13" t="str">
        <x:f>IF(B181="","",IF(COUNT(F181:H181)&lt;3,"",SUM(F181:H181)))</x:f>
      </x:c>
      <x:c r="J181"/>
      <x:c r="K181"/>
      <x:c r="L181"/>
      <x:c r="M181"/>
      <x:c r="N181" s="13" t="str">
        <x:f>IF(I181="","",IF(I181&lt;='07_Regras_Complexidade'!$C$21,'07_Regras_Complexidade'!$D$21,IF(I181&lt;='07_Regras_Complexidade'!$C$22,'07_Regras_Complexidade'!$D$22,'07_Regras_Complexidade'!$D$23)))</x:f>
      </x:c>
      <x:c r="O181"/>
      <x:c r="P181"/>
      <x:c r="Q181"/>
      <x:c r="R181" s="13" t="str">
        <x:f>IF(B181="","",IF(OR(C181="Sem movimento",C181="Inativo",C181="Encerrado"),'07_Regras_Complexidade'!$E$11,IF(COUNT(N181:Q181)&lt;4,'07_Regras_Complexidade'!$E$17,IF(SUM(N181:Q181)&lt;='07_Regras_Complexidade'!$D$12,'07_Regras_Complexidade'!$E$12,IF(SUM(N181:Q181)&lt;='07_Regras_Complexidade'!$D$13,'07_Regras_Complexidade'!$E$13,IF(SUM(N181:Q181)&lt;='07_Regras_Complexidade'!$D$14,'07_Regras_Complexidade'!$E$14,IF(SUM(N181:Q181)&lt;='07_Regras_Complexidade'!$D$15,'07_Regras_Complexidade'!$E$15,'07_Regras_Complexidade'!$E$16)))))))</x:f>
      </x:c>
      <x:c r="S181"/>
    </x:row>
    <x:row r="182">
      <x:c r="A182"/>
      <x:c r="B182"/>
      <x:c r="C182"/>
      <x:c r="D182"/>
      <x:c r="E182"/>
      <x:c r="F182"/>
      <x:c r="G182"/>
      <x:c r="H182"/>
      <x:c r="I182" s="13" t="str">
        <x:f>IF(B182="","",IF(COUNT(F182:H182)&lt;3,"",SUM(F182:H182)))</x:f>
      </x:c>
      <x:c r="J182"/>
      <x:c r="K182"/>
      <x:c r="L182"/>
      <x:c r="M182"/>
      <x:c r="N182" s="13" t="str">
        <x:f>IF(I182="","",IF(I182&lt;='07_Regras_Complexidade'!$C$21,'07_Regras_Complexidade'!$D$21,IF(I182&lt;='07_Regras_Complexidade'!$C$22,'07_Regras_Complexidade'!$D$22,'07_Regras_Complexidade'!$D$23)))</x:f>
      </x:c>
      <x:c r="O182"/>
      <x:c r="P182"/>
      <x:c r="Q182"/>
      <x:c r="R182" s="13" t="str">
        <x:f>IF(B182="","",IF(OR(C182="Sem movimento",C182="Inativo",C182="Encerrado"),'07_Regras_Complexidade'!$E$11,IF(COUNT(N182:Q182)&lt;4,'07_Regras_Complexidade'!$E$17,IF(SUM(N182:Q182)&lt;='07_Regras_Complexidade'!$D$12,'07_Regras_Complexidade'!$E$12,IF(SUM(N182:Q182)&lt;='07_Regras_Complexidade'!$D$13,'07_Regras_Complexidade'!$E$13,IF(SUM(N182:Q182)&lt;='07_Regras_Complexidade'!$D$14,'07_Regras_Complexidade'!$E$14,IF(SUM(N182:Q182)&lt;='07_Regras_Complexidade'!$D$15,'07_Regras_Complexidade'!$E$15,'07_Regras_Complexidade'!$E$16)))))))</x:f>
      </x:c>
      <x:c r="S182"/>
    </x:row>
    <x:row r="183">
      <x:c r="A183"/>
      <x:c r="B183"/>
      <x:c r="C183"/>
      <x:c r="D183"/>
      <x:c r="E183"/>
      <x:c r="F183"/>
      <x:c r="G183"/>
      <x:c r="H183"/>
      <x:c r="I183" s="13" t="str">
        <x:f>IF(B183="","",IF(COUNT(F183:H183)&lt;3,"",SUM(F183:H183)))</x:f>
      </x:c>
      <x:c r="J183"/>
      <x:c r="K183"/>
      <x:c r="L183"/>
      <x:c r="M183"/>
      <x:c r="N183" s="13" t="str">
        <x:f>IF(I183="","",IF(I183&lt;='07_Regras_Complexidade'!$C$21,'07_Regras_Complexidade'!$D$21,IF(I183&lt;='07_Regras_Complexidade'!$C$22,'07_Regras_Complexidade'!$D$22,'07_Regras_Complexidade'!$D$23)))</x:f>
      </x:c>
      <x:c r="O183"/>
      <x:c r="P183"/>
      <x:c r="Q183"/>
      <x:c r="R183" s="13" t="str">
        <x:f>IF(B183="","",IF(OR(C183="Sem movimento",C183="Inativo",C183="Encerrado"),'07_Regras_Complexidade'!$E$11,IF(COUNT(N183:Q183)&lt;4,'07_Regras_Complexidade'!$E$17,IF(SUM(N183:Q183)&lt;='07_Regras_Complexidade'!$D$12,'07_Regras_Complexidade'!$E$12,IF(SUM(N183:Q183)&lt;='07_Regras_Complexidade'!$D$13,'07_Regras_Complexidade'!$E$13,IF(SUM(N183:Q183)&lt;='07_Regras_Complexidade'!$D$14,'07_Regras_Complexidade'!$E$14,IF(SUM(N183:Q183)&lt;='07_Regras_Complexidade'!$D$15,'07_Regras_Complexidade'!$E$15,'07_Regras_Complexidade'!$E$16)))))))</x:f>
      </x:c>
      <x:c r="S183"/>
    </x:row>
    <x:row r="184">
      <x:c r="A184"/>
      <x:c r="B184"/>
      <x:c r="C184"/>
      <x:c r="D184"/>
      <x:c r="E184"/>
      <x:c r="F184"/>
      <x:c r="G184"/>
      <x:c r="H184"/>
      <x:c r="I184" s="13" t="str">
        <x:f>IF(B184="","",IF(COUNT(F184:H184)&lt;3,"",SUM(F184:H184)))</x:f>
      </x:c>
      <x:c r="J184"/>
      <x:c r="K184"/>
      <x:c r="L184"/>
      <x:c r="M184"/>
      <x:c r="N184" s="13" t="str">
        <x:f>IF(I184="","",IF(I184&lt;='07_Regras_Complexidade'!$C$21,'07_Regras_Complexidade'!$D$21,IF(I184&lt;='07_Regras_Complexidade'!$C$22,'07_Regras_Complexidade'!$D$22,'07_Regras_Complexidade'!$D$23)))</x:f>
      </x:c>
      <x:c r="O184"/>
      <x:c r="P184"/>
      <x:c r="Q184"/>
      <x:c r="R184" s="13" t="str">
        <x:f>IF(B184="","",IF(OR(C184="Sem movimento",C184="Inativo",C184="Encerrado"),'07_Regras_Complexidade'!$E$11,IF(COUNT(N184:Q184)&lt;4,'07_Regras_Complexidade'!$E$17,IF(SUM(N184:Q184)&lt;='07_Regras_Complexidade'!$D$12,'07_Regras_Complexidade'!$E$12,IF(SUM(N184:Q184)&lt;='07_Regras_Complexidade'!$D$13,'07_Regras_Complexidade'!$E$13,IF(SUM(N184:Q184)&lt;='07_Regras_Complexidade'!$D$14,'07_Regras_Complexidade'!$E$14,IF(SUM(N184:Q184)&lt;='07_Regras_Complexidade'!$D$15,'07_Regras_Complexidade'!$E$15,'07_Regras_Complexidade'!$E$16)))))))</x:f>
      </x:c>
      <x:c r="S184"/>
    </x:row>
    <x:row r="185">
      <x:c r="A185"/>
      <x:c r="B185"/>
      <x:c r="C185"/>
      <x:c r="D185"/>
      <x:c r="E185"/>
      <x:c r="F185"/>
      <x:c r="G185"/>
      <x:c r="H185"/>
      <x:c r="I185" s="13" t="str">
        <x:f>IF(B185="","",IF(COUNT(F185:H185)&lt;3,"",SUM(F185:H185)))</x:f>
      </x:c>
      <x:c r="J185"/>
      <x:c r="K185"/>
      <x:c r="L185"/>
      <x:c r="M185"/>
      <x:c r="N185" s="13" t="str">
        <x:f>IF(I185="","",IF(I185&lt;='07_Regras_Complexidade'!$C$21,'07_Regras_Complexidade'!$D$21,IF(I185&lt;='07_Regras_Complexidade'!$C$22,'07_Regras_Complexidade'!$D$22,'07_Regras_Complexidade'!$D$23)))</x:f>
      </x:c>
      <x:c r="O185"/>
      <x:c r="P185"/>
      <x:c r="Q185"/>
      <x:c r="R185" s="13" t="str">
        <x:f>IF(B185="","",IF(OR(C185="Sem movimento",C185="Inativo",C185="Encerrado"),'07_Regras_Complexidade'!$E$11,IF(COUNT(N185:Q185)&lt;4,'07_Regras_Complexidade'!$E$17,IF(SUM(N185:Q185)&lt;='07_Regras_Complexidade'!$D$12,'07_Regras_Complexidade'!$E$12,IF(SUM(N185:Q185)&lt;='07_Regras_Complexidade'!$D$13,'07_Regras_Complexidade'!$E$13,IF(SUM(N185:Q185)&lt;='07_Regras_Complexidade'!$D$14,'07_Regras_Complexidade'!$E$14,IF(SUM(N185:Q185)&lt;='07_Regras_Complexidade'!$D$15,'07_Regras_Complexidade'!$E$15,'07_Regras_Complexidade'!$E$16)))))))</x:f>
      </x:c>
      <x:c r="S185"/>
    </x:row>
    <x:row r="186">
      <x:c r="A186"/>
      <x:c r="B186"/>
      <x:c r="C186"/>
      <x:c r="D186"/>
      <x:c r="E186"/>
      <x:c r="F186"/>
      <x:c r="G186"/>
      <x:c r="H186"/>
      <x:c r="I186" s="13" t="str">
        <x:f>IF(B186="","",IF(COUNT(F186:H186)&lt;3,"",SUM(F186:H186)))</x:f>
      </x:c>
      <x:c r="J186"/>
      <x:c r="K186"/>
      <x:c r="L186"/>
      <x:c r="M186"/>
      <x:c r="N186" s="13" t="str">
        <x:f>IF(I186="","",IF(I186&lt;='07_Regras_Complexidade'!$C$21,'07_Regras_Complexidade'!$D$21,IF(I186&lt;='07_Regras_Complexidade'!$C$22,'07_Regras_Complexidade'!$D$22,'07_Regras_Complexidade'!$D$23)))</x:f>
      </x:c>
      <x:c r="O186"/>
      <x:c r="P186"/>
      <x:c r="Q186"/>
      <x:c r="R186" s="13" t="str">
        <x:f>IF(B186="","",IF(OR(C186="Sem movimento",C186="Inativo",C186="Encerrado"),'07_Regras_Complexidade'!$E$11,IF(COUNT(N186:Q186)&lt;4,'07_Regras_Complexidade'!$E$17,IF(SUM(N186:Q186)&lt;='07_Regras_Complexidade'!$D$12,'07_Regras_Complexidade'!$E$12,IF(SUM(N186:Q186)&lt;='07_Regras_Complexidade'!$D$13,'07_Regras_Complexidade'!$E$13,IF(SUM(N186:Q186)&lt;='07_Regras_Complexidade'!$D$14,'07_Regras_Complexidade'!$E$14,IF(SUM(N186:Q186)&lt;='07_Regras_Complexidade'!$D$15,'07_Regras_Complexidade'!$E$15,'07_Regras_Complexidade'!$E$16)))))))</x:f>
      </x:c>
      <x:c r="S186"/>
    </x:row>
    <x:row r="187">
      <x:c r="A187"/>
      <x:c r="B187"/>
      <x:c r="C187"/>
      <x:c r="D187"/>
      <x:c r="E187"/>
      <x:c r="F187"/>
      <x:c r="G187"/>
      <x:c r="H187"/>
      <x:c r="I187" s="13" t="str">
        <x:f>IF(B187="","",IF(COUNT(F187:H187)&lt;3,"",SUM(F187:H187)))</x:f>
      </x:c>
      <x:c r="J187"/>
      <x:c r="K187"/>
      <x:c r="L187"/>
      <x:c r="M187"/>
      <x:c r="N187" s="13" t="str">
        <x:f>IF(I187="","",IF(I187&lt;='07_Regras_Complexidade'!$C$21,'07_Regras_Complexidade'!$D$21,IF(I187&lt;='07_Regras_Complexidade'!$C$22,'07_Regras_Complexidade'!$D$22,'07_Regras_Complexidade'!$D$23)))</x:f>
      </x:c>
      <x:c r="O187"/>
      <x:c r="P187"/>
      <x:c r="Q187"/>
      <x:c r="R187" s="13" t="str">
        <x:f>IF(B187="","",IF(OR(C187="Sem movimento",C187="Inativo",C187="Encerrado"),'07_Regras_Complexidade'!$E$11,IF(COUNT(N187:Q187)&lt;4,'07_Regras_Complexidade'!$E$17,IF(SUM(N187:Q187)&lt;='07_Regras_Complexidade'!$D$12,'07_Regras_Complexidade'!$E$12,IF(SUM(N187:Q187)&lt;='07_Regras_Complexidade'!$D$13,'07_Regras_Complexidade'!$E$13,IF(SUM(N187:Q187)&lt;='07_Regras_Complexidade'!$D$14,'07_Regras_Complexidade'!$E$14,IF(SUM(N187:Q187)&lt;='07_Regras_Complexidade'!$D$15,'07_Regras_Complexidade'!$E$15,'07_Regras_Complexidade'!$E$16)))))))</x:f>
      </x:c>
      <x:c r="S187"/>
    </x:row>
    <x:row r="188">
      <x:c r="A188"/>
      <x:c r="B188"/>
      <x:c r="C188"/>
      <x:c r="D188"/>
      <x:c r="E188"/>
      <x:c r="F188"/>
      <x:c r="G188"/>
      <x:c r="H188"/>
      <x:c r="I188" s="13" t="str">
        <x:f>IF(B188="","",IF(COUNT(F188:H188)&lt;3,"",SUM(F188:H188)))</x:f>
      </x:c>
      <x:c r="J188"/>
      <x:c r="K188"/>
      <x:c r="L188"/>
      <x:c r="M188"/>
      <x:c r="N188" s="13" t="str">
        <x:f>IF(I188="","",IF(I188&lt;='07_Regras_Complexidade'!$C$21,'07_Regras_Complexidade'!$D$21,IF(I188&lt;='07_Regras_Complexidade'!$C$22,'07_Regras_Complexidade'!$D$22,'07_Regras_Complexidade'!$D$23)))</x:f>
      </x:c>
      <x:c r="O188"/>
      <x:c r="P188"/>
      <x:c r="Q188"/>
      <x:c r="R188" s="13" t="str">
        <x:f>IF(B188="","",IF(OR(C188="Sem movimento",C188="Inativo",C188="Encerrado"),'07_Regras_Complexidade'!$E$11,IF(COUNT(N188:Q188)&lt;4,'07_Regras_Complexidade'!$E$17,IF(SUM(N188:Q188)&lt;='07_Regras_Complexidade'!$D$12,'07_Regras_Complexidade'!$E$12,IF(SUM(N188:Q188)&lt;='07_Regras_Complexidade'!$D$13,'07_Regras_Complexidade'!$E$13,IF(SUM(N188:Q188)&lt;='07_Regras_Complexidade'!$D$14,'07_Regras_Complexidade'!$E$14,IF(SUM(N188:Q188)&lt;='07_Regras_Complexidade'!$D$15,'07_Regras_Complexidade'!$E$15,'07_Regras_Complexidade'!$E$16)))))))</x:f>
      </x:c>
      <x:c r="S188"/>
    </x:row>
    <x:row r="189">
      <x:c r="A189"/>
      <x:c r="B189"/>
      <x:c r="C189"/>
      <x:c r="D189"/>
      <x:c r="E189"/>
      <x:c r="F189"/>
      <x:c r="G189"/>
      <x:c r="H189"/>
      <x:c r="I189" s="13" t="str">
        <x:f>IF(B189="","",IF(COUNT(F189:H189)&lt;3,"",SUM(F189:H189)))</x:f>
      </x:c>
      <x:c r="J189"/>
      <x:c r="K189"/>
      <x:c r="L189"/>
      <x:c r="M189"/>
      <x:c r="N189" s="13" t="str">
        <x:f>IF(I189="","",IF(I189&lt;='07_Regras_Complexidade'!$C$21,'07_Regras_Complexidade'!$D$21,IF(I189&lt;='07_Regras_Complexidade'!$C$22,'07_Regras_Complexidade'!$D$22,'07_Regras_Complexidade'!$D$23)))</x:f>
      </x:c>
      <x:c r="O189"/>
      <x:c r="P189"/>
      <x:c r="Q189"/>
      <x:c r="R189" s="13" t="str">
        <x:f>IF(B189="","",IF(OR(C189="Sem movimento",C189="Inativo",C189="Encerrado"),'07_Regras_Complexidade'!$E$11,IF(COUNT(N189:Q189)&lt;4,'07_Regras_Complexidade'!$E$17,IF(SUM(N189:Q189)&lt;='07_Regras_Complexidade'!$D$12,'07_Regras_Complexidade'!$E$12,IF(SUM(N189:Q189)&lt;='07_Regras_Complexidade'!$D$13,'07_Regras_Complexidade'!$E$13,IF(SUM(N189:Q189)&lt;='07_Regras_Complexidade'!$D$14,'07_Regras_Complexidade'!$E$14,IF(SUM(N189:Q189)&lt;='07_Regras_Complexidade'!$D$15,'07_Regras_Complexidade'!$E$15,'07_Regras_Complexidade'!$E$16)))))))</x:f>
      </x:c>
      <x:c r="S189"/>
    </x:row>
    <x:row r="190">
      <x:c r="A190"/>
      <x:c r="B190"/>
      <x:c r="C190"/>
      <x:c r="D190"/>
      <x:c r="E190"/>
      <x:c r="F190"/>
      <x:c r="G190"/>
      <x:c r="H190"/>
      <x:c r="I190" s="13" t="str">
        <x:f>IF(B190="","",IF(COUNT(F190:H190)&lt;3,"",SUM(F190:H190)))</x:f>
      </x:c>
      <x:c r="J190"/>
      <x:c r="K190"/>
      <x:c r="L190"/>
      <x:c r="M190"/>
      <x:c r="N190" s="13" t="str">
        <x:f>IF(I190="","",IF(I190&lt;='07_Regras_Complexidade'!$C$21,'07_Regras_Complexidade'!$D$21,IF(I190&lt;='07_Regras_Complexidade'!$C$22,'07_Regras_Complexidade'!$D$22,'07_Regras_Complexidade'!$D$23)))</x:f>
      </x:c>
      <x:c r="O190"/>
      <x:c r="P190"/>
      <x:c r="Q190"/>
      <x:c r="R190" s="13" t="str">
        <x:f>IF(B190="","",IF(OR(C190="Sem movimento",C190="Inativo",C190="Encerrado"),'07_Regras_Complexidade'!$E$11,IF(COUNT(N190:Q190)&lt;4,'07_Regras_Complexidade'!$E$17,IF(SUM(N190:Q190)&lt;='07_Regras_Complexidade'!$D$12,'07_Regras_Complexidade'!$E$12,IF(SUM(N190:Q190)&lt;='07_Regras_Complexidade'!$D$13,'07_Regras_Complexidade'!$E$13,IF(SUM(N190:Q190)&lt;='07_Regras_Complexidade'!$D$14,'07_Regras_Complexidade'!$E$14,IF(SUM(N190:Q190)&lt;='07_Regras_Complexidade'!$D$15,'07_Regras_Complexidade'!$E$15,'07_Regras_Complexidade'!$E$16)))))))</x:f>
      </x:c>
      <x:c r="S190"/>
    </x:row>
    <x:row r="191">
      <x:c r="A191"/>
      <x:c r="B191"/>
      <x:c r="C191"/>
      <x:c r="D191"/>
      <x:c r="E191"/>
      <x:c r="F191"/>
      <x:c r="G191"/>
      <x:c r="H191"/>
      <x:c r="I191" s="13" t="str">
        <x:f>IF(B191="","",IF(COUNT(F191:H191)&lt;3,"",SUM(F191:H191)))</x:f>
      </x:c>
      <x:c r="J191"/>
      <x:c r="K191"/>
      <x:c r="L191"/>
      <x:c r="M191"/>
      <x:c r="N191" s="13" t="str">
        <x:f>IF(I191="","",IF(I191&lt;='07_Regras_Complexidade'!$C$21,'07_Regras_Complexidade'!$D$21,IF(I191&lt;='07_Regras_Complexidade'!$C$22,'07_Regras_Complexidade'!$D$22,'07_Regras_Complexidade'!$D$23)))</x:f>
      </x:c>
      <x:c r="O191"/>
      <x:c r="P191"/>
      <x:c r="Q191"/>
      <x:c r="R191" s="13" t="str">
        <x:f>IF(B191="","",IF(OR(C191="Sem movimento",C191="Inativo",C191="Encerrado"),'07_Regras_Complexidade'!$E$11,IF(COUNT(N191:Q191)&lt;4,'07_Regras_Complexidade'!$E$17,IF(SUM(N191:Q191)&lt;='07_Regras_Complexidade'!$D$12,'07_Regras_Complexidade'!$E$12,IF(SUM(N191:Q191)&lt;='07_Regras_Complexidade'!$D$13,'07_Regras_Complexidade'!$E$13,IF(SUM(N191:Q191)&lt;='07_Regras_Complexidade'!$D$14,'07_Regras_Complexidade'!$E$14,IF(SUM(N191:Q191)&lt;='07_Regras_Complexidade'!$D$15,'07_Regras_Complexidade'!$E$15,'07_Regras_Complexidade'!$E$16)))))))</x:f>
      </x:c>
      <x:c r="S191"/>
    </x:row>
    <x:row r="192">
      <x:c r="A192"/>
      <x:c r="B192"/>
      <x:c r="C192"/>
      <x:c r="D192"/>
      <x:c r="E192"/>
      <x:c r="F192"/>
      <x:c r="G192"/>
      <x:c r="H192"/>
      <x:c r="I192" s="13" t="str">
        <x:f>IF(B192="","",IF(COUNT(F192:H192)&lt;3,"",SUM(F192:H192)))</x:f>
      </x:c>
      <x:c r="J192"/>
      <x:c r="K192"/>
      <x:c r="L192"/>
      <x:c r="M192"/>
      <x:c r="N192" s="13" t="str">
        <x:f>IF(I192="","",IF(I192&lt;='07_Regras_Complexidade'!$C$21,'07_Regras_Complexidade'!$D$21,IF(I192&lt;='07_Regras_Complexidade'!$C$22,'07_Regras_Complexidade'!$D$22,'07_Regras_Complexidade'!$D$23)))</x:f>
      </x:c>
      <x:c r="O192"/>
      <x:c r="P192"/>
      <x:c r="Q192"/>
      <x:c r="R192" s="13" t="str">
        <x:f>IF(B192="","",IF(OR(C192="Sem movimento",C192="Inativo",C192="Encerrado"),'07_Regras_Complexidade'!$E$11,IF(COUNT(N192:Q192)&lt;4,'07_Regras_Complexidade'!$E$17,IF(SUM(N192:Q192)&lt;='07_Regras_Complexidade'!$D$12,'07_Regras_Complexidade'!$E$12,IF(SUM(N192:Q192)&lt;='07_Regras_Complexidade'!$D$13,'07_Regras_Complexidade'!$E$13,IF(SUM(N192:Q192)&lt;='07_Regras_Complexidade'!$D$14,'07_Regras_Complexidade'!$E$14,IF(SUM(N192:Q192)&lt;='07_Regras_Complexidade'!$D$15,'07_Regras_Complexidade'!$E$15,'07_Regras_Complexidade'!$E$16)))))))</x:f>
      </x:c>
      <x:c r="S192"/>
    </x:row>
    <x:row r="193">
      <x:c r="A193"/>
      <x:c r="B193"/>
      <x:c r="C193"/>
      <x:c r="D193"/>
      <x:c r="E193"/>
      <x:c r="F193"/>
      <x:c r="G193"/>
      <x:c r="H193"/>
      <x:c r="I193" s="13" t="str">
        <x:f>IF(B193="","",IF(COUNT(F193:H193)&lt;3,"",SUM(F193:H193)))</x:f>
      </x:c>
      <x:c r="J193"/>
      <x:c r="K193"/>
      <x:c r="L193"/>
      <x:c r="M193"/>
      <x:c r="N193" s="13" t="str">
        <x:f>IF(I193="","",IF(I193&lt;='07_Regras_Complexidade'!$C$21,'07_Regras_Complexidade'!$D$21,IF(I193&lt;='07_Regras_Complexidade'!$C$22,'07_Regras_Complexidade'!$D$22,'07_Regras_Complexidade'!$D$23)))</x:f>
      </x:c>
      <x:c r="O193"/>
      <x:c r="P193"/>
      <x:c r="Q193"/>
      <x:c r="R193" s="13" t="str">
        <x:f>IF(B193="","",IF(OR(C193="Sem movimento",C193="Inativo",C193="Encerrado"),'07_Regras_Complexidade'!$E$11,IF(COUNT(N193:Q193)&lt;4,'07_Regras_Complexidade'!$E$17,IF(SUM(N193:Q193)&lt;='07_Regras_Complexidade'!$D$12,'07_Regras_Complexidade'!$E$12,IF(SUM(N193:Q193)&lt;='07_Regras_Complexidade'!$D$13,'07_Regras_Complexidade'!$E$13,IF(SUM(N193:Q193)&lt;='07_Regras_Complexidade'!$D$14,'07_Regras_Complexidade'!$E$14,IF(SUM(N193:Q193)&lt;='07_Regras_Complexidade'!$D$15,'07_Regras_Complexidade'!$E$15,'07_Regras_Complexidade'!$E$16)))))))</x:f>
      </x:c>
      <x:c r="S193"/>
    </x:row>
    <x:row r="194">
      <x:c r="A194"/>
      <x:c r="B194"/>
      <x:c r="C194"/>
      <x:c r="D194"/>
      <x:c r="E194"/>
      <x:c r="F194"/>
      <x:c r="G194"/>
      <x:c r="H194"/>
      <x:c r="I194" s="13" t="str">
        <x:f>IF(B194="","",IF(COUNT(F194:H194)&lt;3,"",SUM(F194:H194)))</x:f>
      </x:c>
      <x:c r="J194"/>
      <x:c r="K194"/>
      <x:c r="L194"/>
      <x:c r="M194"/>
      <x:c r="N194" s="13" t="str">
        <x:f>IF(I194="","",IF(I194&lt;='07_Regras_Complexidade'!$C$21,'07_Regras_Complexidade'!$D$21,IF(I194&lt;='07_Regras_Complexidade'!$C$22,'07_Regras_Complexidade'!$D$22,'07_Regras_Complexidade'!$D$23)))</x:f>
      </x:c>
      <x:c r="O194"/>
      <x:c r="P194"/>
      <x:c r="Q194"/>
      <x:c r="R194" s="13" t="str">
        <x:f>IF(B194="","",IF(OR(C194="Sem movimento",C194="Inativo",C194="Encerrado"),'07_Regras_Complexidade'!$E$11,IF(COUNT(N194:Q194)&lt;4,'07_Regras_Complexidade'!$E$17,IF(SUM(N194:Q194)&lt;='07_Regras_Complexidade'!$D$12,'07_Regras_Complexidade'!$E$12,IF(SUM(N194:Q194)&lt;='07_Regras_Complexidade'!$D$13,'07_Regras_Complexidade'!$E$13,IF(SUM(N194:Q194)&lt;='07_Regras_Complexidade'!$D$14,'07_Regras_Complexidade'!$E$14,IF(SUM(N194:Q194)&lt;='07_Regras_Complexidade'!$D$15,'07_Regras_Complexidade'!$E$15,'07_Regras_Complexidade'!$E$16)))))))</x:f>
      </x:c>
      <x:c r="S194"/>
    </x:row>
    <x:row r="195">
      <x:c r="A195"/>
      <x:c r="B195"/>
      <x:c r="C195"/>
      <x:c r="D195"/>
      <x:c r="E195"/>
      <x:c r="F195"/>
      <x:c r="G195"/>
      <x:c r="H195"/>
      <x:c r="I195" s="13" t="str">
        <x:f>IF(B195="","",IF(COUNT(F195:H195)&lt;3,"",SUM(F195:H195)))</x:f>
      </x:c>
      <x:c r="J195"/>
      <x:c r="K195"/>
      <x:c r="L195"/>
      <x:c r="M195"/>
      <x:c r="N195" s="13" t="str">
        <x:f>IF(I195="","",IF(I195&lt;='07_Regras_Complexidade'!$C$21,'07_Regras_Complexidade'!$D$21,IF(I195&lt;='07_Regras_Complexidade'!$C$22,'07_Regras_Complexidade'!$D$22,'07_Regras_Complexidade'!$D$23)))</x:f>
      </x:c>
      <x:c r="O195"/>
      <x:c r="P195"/>
      <x:c r="Q195"/>
      <x:c r="R195" s="13" t="str">
        <x:f>IF(B195="","",IF(OR(C195="Sem movimento",C195="Inativo",C195="Encerrado"),'07_Regras_Complexidade'!$E$11,IF(COUNT(N195:Q195)&lt;4,'07_Regras_Complexidade'!$E$17,IF(SUM(N195:Q195)&lt;='07_Regras_Complexidade'!$D$12,'07_Regras_Complexidade'!$E$12,IF(SUM(N195:Q195)&lt;='07_Regras_Complexidade'!$D$13,'07_Regras_Complexidade'!$E$13,IF(SUM(N195:Q195)&lt;='07_Regras_Complexidade'!$D$14,'07_Regras_Complexidade'!$E$14,IF(SUM(N195:Q195)&lt;='07_Regras_Complexidade'!$D$15,'07_Regras_Complexidade'!$E$15,'07_Regras_Complexidade'!$E$16)))))))</x:f>
      </x:c>
      <x:c r="S195"/>
    </x:row>
    <x:row r="196">
      <x:c r="A196"/>
      <x:c r="B196"/>
      <x:c r="C196"/>
      <x:c r="D196"/>
      <x:c r="E196"/>
      <x:c r="F196"/>
      <x:c r="G196"/>
      <x:c r="H196"/>
      <x:c r="I196" s="13" t="str">
        <x:f>IF(B196="","",IF(COUNT(F196:H196)&lt;3,"",SUM(F196:H196)))</x:f>
      </x:c>
      <x:c r="J196"/>
      <x:c r="K196"/>
      <x:c r="L196"/>
      <x:c r="M196"/>
      <x:c r="N196" s="13" t="str">
        <x:f>IF(I196="","",IF(I196&lt;='07_Regras_Complexidade'!$C$21,'07_Regras_Complexidade'!$D$21,IF(I196&lt;='07_Regras_Complexidade'!$C$22,'07_Regras_Complexidade'!$D$22,'07_Regras_Complexidade'!$D$23)))</x:f>
      </x:c>
      <x:c r="O196"/>
      <x:c r="P196"/>
      <x:c r="Q196"/>
      <x:c r="R196" s="13" t="str">
        <x:f>IF(B196="","",IF(OR(C196="Sem movimento",C196="Inativo",C196="Encerrado"),'07_Regras_Complexidade'!$E$11,IF(COUNT(N196:Q196)&lt;4,'07_Regras_Complexidade'!$E$17,IF(SUM(N196:Q196)&lt;='07_Regras_Complexidade'!$D$12,'07_Regras_Complexidade'!$E$12,IF(SUM(N196:Q196)&lt;='07_Regras_Complexidade'!$D$13,'07_Regras_Complexidade'!$E$13,IF(SUM(N196:Q196)&lt;='07_Regras_Complexidade'!$D$14,'07_Regras_Complexidade'!$E$14,IF(SUM(N196:Q196)&lt;='07_Regras_Complexidade'!$D$15,'07_Regras_Complexidade'!$E$15,'07_Regras_Complexidade'!$E$16)))))))</x:f>
      </x:c>
      <x:c r="S196"/>
    </x:row>
    <x:row r="197">
      <x:c r="A197"/>
      <x:c r="B197"/>
      <x:c r="C197"/>
      <x:c r="D197"/>
      <x:c r="E197"/>
      <x:c r="F197"/>
      <x:c r="G197"/>
      <x:c r="H197"/>
      <x:c r="I197" s="13" t="str">
        <x:f>IF(B197="","",IF(COUNT(F197:H197)&lt;3,"",SUM(F197:H197)))</x:f>
      </x:c>
      <x:c r="J197"/>
      <x:c r="K197"/>
      <x:c r="L197"/>
      <x:c r="M197"/>
      <x:c r="N197" s="13" t="str">
        <x:f>IF(I197="","",IF(I197&lt;='07_Regras_Complexidade'!$C$21,'07_Regras_Complexidade'!$D$21,IF(I197&lt;='07_Regras_Complexidade'!$C$22,'07_Regras_Complexidade'!$D$22,'07_Regras_Complexidade'!$D$23)))</x:f>
      </x:c>
      <x:c r="O197"/>
      <x:c r="P197"/>
      <x:c r="Q197"/>
      <x:c r="R197" s="13" t="str">
        <x:f>IF(B197="","",IF(OR(C197="Sem movimento",C197="Inativo",C197="Encerrado"),'07_Regras_Complexidade'!$E$11,IF(COUNT(N197:Q197)&lt;4,'07_Regras_Complexidade'!$E$17,IF(SUM(N197:Q197)&lt;='07_Regras_Complexidade'!$D$12,'07_Regras_Complexidade'!$E$12,IF(SUM(N197:Q197)&lt;='07_Regras_Complexidade'!$D$13,'07_Regras_Complexidade'!$E$13,IF(SUM(N197:Q197)&lt;='07_Regras_Complexidade'!$D$14,'07_Regras_Complexidade'!$E$14,IF(SUM(N197:Q197)&lt;='07_Regras_Complexidade'!$D$15,'07_Regras_Complexidade'!$E$15,'07_Regras_Complexidade'!$E$16)))))))</x:f>
      </x:c>
      <x:c r="S197"/>
    </x:row>
    <x:row r="198">
      <x:c r="A198"/>
      <x:c r="B198"/>
      <x:c r="C198"/>
      <x:c r="D198"/>
      <x:c r="E198"/>
      <x:c r="F198"/>
      <x:c r="G198"/>
      <x:c r="H198"/>
      <x:c r="I198" s="13" t="str">
        <x:f>IF(B198="","",IF(COUNT(F198:H198)&lt;3,"",SUM(F198:H198)))</x:f>
      </x:c>
      <x:c r="J198"/>
      <x:c r="K198"/>
      <x:c r="L198"/>
      <x:c r="M198"/>
      <x:c r="N198" s="13" t="str">
        <x:f>IF(I198="","",IF(I198&lt;='07_Regras_Complexidade'!$C$21,'07_Regras_Complexidade'!$D$21,IF(I198&lt;='07_Regras_Complexidade'!$C$22,'07_Regras_Complexidade'!$D$22,'07_Regras_Complexidade'!$D$23)))</x:f>
      </x:c>
      <x:c r="O198"/>
      <x:c r="P198"/>
      <x:c r="Q198"/>
      <x:c r="R198" s="13" t="str">
        <x:f>IF(B198="","",IF(OR(C198="Sem movimento",C198="Inativo",C198="Encerrado"),'07_Regras_Complexidade'!$E$11,IF(COUNT(N198:Q198)&lt;4,'07_Regras_Complexidade'!$E$17,IF(SUM(N198:Q198)&lt;='07_Regras_Complexidade'!$D$12,'07_Regras_Complexidade'!$E$12,IF(SUM(N198:Q198)&lt;='07_Regras_Complexidade'!$D$13,'07_Regras_Complexidade'!$E$13,IF(SUM(N198:Q198)&lt;='07_Regras_Complexidade'!$D$14,'07_Regras_Complexidade'!$E$14,IF(SUM(N198:Q198)&lt;='07_Regras_Complexidade'!$D$15,'07_Regras_Complexidade'!$E$15,'07_Regras_Complexidade'!$E$16)))))))</x:f>
      </x:c>
      <x:c r="S198"/>
    </x:row>
    <x:row r="199">
      <x:c r="A199"/>
      <x:c r="B199"/>
      <x:c r="C199"/>
      <x:c r="D199"/>
      <x:c r="E199"/>
      <x:c r="F199"/>
      <x:c r="G199"/>
      <x:c r="H199"/>
      <x:c r="I199" s="13" t="str">
        <x:f>IF(B199="","",IF(COUNT(F199:H199)&lt;3,"",SUM(F199:H199)))</x:f>
      </x:c>
      <x:c r="J199"/>
      <x:c r="K199"/>
      <x:c r="L199"/>
      <x:c r="M199"/>
      <x:c r="N199" s="13" t="str">
        <x:f>IF(I199="","",IF(I199&lt;='07_Regras_Complexidade'!$C$21,'07_Regras_Complexidade'!$D$21,IF(I199&lt;='07_Regras_Complexidade'!$C$22,'07_Regras_Complexidade'!$D$22,'07_Regras_Complexidade'!$D$23)))</x:f>
      </x:c>
      <x:c r="O199"/>
      <x:c r="P199"/>
      <x:c r="Q199"/>
      <x:c r="R199" s="13" t="str">
        <x:f>IF(B199="","",IF(OR(C199="Sem movimento",C199="Inativo",C199="Encerrado"),'07_Regras_Complexidade'!$E$11,IF(COUNT(N199:Q199)&lt;4,'07_Regras_Complexidade'!$E$17,IF(SUM(N199:Q199)&lt;='07_Regras_Complexidade'!$D$12,'07_Regras_Complexidade'!$E$12,IF(SUM(N199:Q199)&lt;='07_Regras_Complexidade'!$D$13,'07_Regras_Complexidade'!$E$13,IF(SUM(N199:Q199)&lt;='07_Regras_Complexidade'!$D$14,'07_Regras_Complexidade'!$E$14,IF(SUM(N199:Q199)&lt;='07_Regras_Complexidade'!$D$15,'07_Regras_Complexidade'!$E$15,'07_Regras_Complexidade'!$E$16)))))))</x:f>
      </x:c>
      <x:c r="S199"/>
    </x:row>
    <x:row r="200">
      <x:c r="A200"/>
      <x:c r="B200"/>
      <x:c r="C200"/>
      <x:c r="D200"/>
      <x:c r="E200"/>
      <x:c r="F200"/>
      <x:c r="G200"/>
      <x:c r="H200"/>
      <x:c r="I200" s="13" t="str">
        <x:f>IF(B200="","",IF(COUNT(F200:H200)&lt;3,"",SUM(F200:H200)))</x:f>
      </x:c>
      <x:c r="J200"/>
      <x:c r="K200"/>
      <x:c r="L200"/>
      <x:c r="M200"/>
      <x:c r="N200" s="13" t="str">
        <x:f>IF(I200="","",IF(I200&lt;='07_Regras_Complexidade'!$C$21,'07_Regras_Complexidade'!$D$21,IF(I200&lt;='07_Regras_Complexidade'!$C$22,'07_Regras_Complexidade'!$D$22,'07_Regras_Complexidade'!$D$23)))</x:f>
      </x:c>
      <x:c r="O200"/>
      <x:c r="P200"/>
      <x:c r="Q200"/>
      <x:c r="R200" s="13" t="str">
        <x:f>IF(B200="","",IF(OR(C200="Sem movimento",C200="Inativo",C200="Encerrado"),'07_Regras_Complexidade'!$E$11,IF(COUNT(N200:Q200)&lt;4,'07_Regras_Complexidade'!$E$17,IF(SUM(N200:Q200)&lt;='07_Regras_Complexidade'!$D$12,'07_Regras_Complexidade'!$E$12,IF(SUM(N200:Q200)&lt;='07_Regras_Complexidade'!$D$13,'07_Regras_Complexidade'!$E$13,IF(SUM(N200:Q200)&lt;='07_Regras_Complexidade'!$D$14,'07_Regras_Complexidade'!$E$14,IF(SUM(N200:Q200)&lt;='07_Regras_Complexidade'!$D$15,'07_Regras_Complexidade'!$E$15,'07_Regras_Complexidade'!$E$16)))))))</x:f>
      </x:c>
      <x:c r="S200"/>
    </x:row>
    <x:row r="201">
      <x:c r="A201"/>
      <x:c r="B201"/>
      <x:c r="C201"/>
      <x:c r="D201"/>
      <x:c r="E201"/>
      <x:c r="F201"/>
      <x:c r="G201"/>
      <x:c r="H201"/>
      <x:c r="I201" s="13" t="str">
        <x:f>IF(B201="","",IF(COUNT(F201:H201)&lt;3,"",SUM(F201:H201)))</x:f>
      </x:c>
      <x:c r="J201"/>
      <x:c r="K201"/>
      <x:c r="L201"/>
      <x:c r="M201"/>
      <x:c r="N201" s="13" t="str">
        <x:f>IF(I201="","",IF(I201&lt;='07_Regras_Complexidade'!$C$21,'07_Regras_Complexidade'!$D$21,IF(I201&lt;='07_Regras_Complexidade'!$C$22,'07_Regras_Complexidade'!$D$22,'07_Regras_Complexidade'!$D$23)))</x:f>
      </x:c>
      <x:c r="O201"/>
      <x:c r="P201"/>
      <x:c r="Q201"/>
      <x:c r="R201" s="13" t="str">
        <x:f>IF(B201="","",IF(OR(C201="Sem movimento",C201="Inativo",C201="Encerrado"),'07_Regras_Complexidade'!$E$11,IF(COUNT(N201:Q201)&lt;4,'07_Regras_Complexidade'!$E$17,IF(SUM(N201:Q201)&lt;='07_Regras_Complexidade'!$D$12,'07_Regras_Complexidade'!$E$12,IF(SUM(N201:Q201)&lt;='07_Regras_Complexidade'!$D$13,'07_Regras_Complexidade'!$E$13,IF(SUM(N201:Q201)&lt;='07_Regras_Complexidade'!$D$14,'07_Regras_Complexidade'!$E$14,IF(SUM(N201:Q201)&lt;='07_Regras_Complexidade'!$D$15,'07_Regras_Complexidade'!$E$15,'07_Regras_Complexidade'!$E$16)))))))</x:f>
      </x:c>
      <x:c r="S201"/>
    </x:row>
    <x:row r="202">
      <x:c r="A202"/>
      <x:c r="B202"/>
      <x:c r="C202"/>
      <x:c r="D202"/>
      <x:c r="E202"/>
      <x:c r="F202"/>
      <x:c r="G202"/>
      <x:c r="H202"/>
      <x:c r="I202" s="13" t="str">
        <x:f>IF(B202="","",IF(COUNT(F202:H202)&lt;3,"",SUM(F202:H202)))</x:f>
      </x:c>
      <x:c r="J202"/>
      <x:c r="K202"/>
      <x:c r="L202"/>
      <x:c r="M202"/>
      <x:c r="N202" s="13" t="str">
        <x:f>IF(I202="","",IF(I202&lt;='07_Regras_Complexidade'!$C$21,'07_Regras_Complexidade'!$D$21,IF(I202&lt;='07_Regras_Complexidade'!$C$22,'07_Regras_Complexidade'!$D$22,'07_Regras_Complexidade'!$D$23)))</x:f>
      </x:c>
      <x:c r="O202"/>
      <x:c r="P202"/>
      <x:c r="Q202"/>
      <x:c r="R202" s="13" t="str">
        <x:f>IF(B202="","",IF(OR(C202="Sem movimento",C202="Inativo",C202="Encerrado"),'07_Regras_Complexidade'!$E$11,IF(COUNT(N202:Q202)&lt;4,'07_Regras_Complexidade'!$E$17,IF(SUM(N202:Q202)&lt;='07_Regras_Complexidade'!$D$12,'07_Regras_Complexidade'!$E$12,IF(SUM(N202:Q202)&lt;='07_Regras_Complexidade'!$D$13,'07_Regras_Complexidade'!$E$13,IF(SUM(N202:Q202)&lt;='07_Regras_Complexidade'!$D$14,'07_Regras_Complexidade'!$E$14,IF(SUM(N202:Q202)&lt;='07_Regras_Complexidade'!$D$15,'07_Regras_Complexidade'!$E$15,'07_Regras_Complexidade'!$E$16)))))))</x:f>
      </x:c>
      <x:c r="S202"/>
    </x:row>
    <x:row r="203">
      <x:c r="A203"/>
      <x:c r="B203"/>
      <x:c r="C203"/>
      <x:c r="D203"/>
      <x:c r="E203"/>
      <x:c r="F203"/>
      <x:c r="G203"/>
      <x:c r="H203"/>
      <x:c r="I203" s="13" t="str">
        <x:f>IF(B203="","",IF(COUNT(F203:H203)&lt;3,"",SUM(F203:H203)))</x:f>
      </x:c>
      <x:c r="J203"/>
      <x:c r="K203"/>
      <x:c r="L203"/>
      <x:c r="M203"/>
      <x:c r="N203" s="13" t="str">
        <x:f>IF(I203="","",IF(I203&lt;='07_Regras_Complexidade'!$C$21,'07_Regras_Complexidade'!$D$21,IF(I203&lt;='07_Regras_Complexidade'!$C$22,'07_Regras_Complexidade'!$D$22,'07_Regras_Complexidade'!$D$23)))</x:f>
      </x:c>
      <x:c r="O203"/>
      <x:c r="P203"/>
      <x:c r="Q203"/>
      <x:c r="R203" s="13" t="str">
        <x:f>IF(B203="","",IF(OR(C203="Sem movimento",C203="Inativo",C203="Encerrado"),'07_Regras_Complexidade'!$E$11,IF(COUNT(N203:Q203)&lt;4,'07_Regras_Complexidade'!$E$17,IF(SUM(N203:Q203)&lt;='07_Regras_Complexidade'!$D$12,'07_Regras_Complexidade'!$E$12,IF(SUM(N203:Q203)&lt;='07_Regras_Complexidade'!$D$13,'07_Regras_Complexidade'!$E$13,IF(SUM(N203:Q203)&lt;='07_Regras_Complexidade'!$D$14,'07_Regras_Complexidade'!$E$14,IF(SUM(N203:Q203)&lt;='07_Regras_Complexidade'!$D$15,'07_Regras_Complexidade'!$E$15,'07_Regras_Complexidade'!$E$16)))))))</x:f>
      </x:c>
      <x:c r="S203"/>
    </x:row>
    <x:row r="204">
      <x:c r="A204"/>
      <x:c r="B204"/>
      <x:c r="C204"/>
      <x:c r="D204"/>
      <x:c r="E204"/>
      <x:c r="F204"/>
      <x:c r="G204"/>
      <x:c r="H204"/>
      <x:c r="I204" s="13" t="str">
        <x:f>IF(B204="","",IF(COUNT(F204:H204)&lt;3,"",SUM(F204:H204)))</x:f>
      </x:c>
      <x:c r="J204"/>
      <x:c r="K204"/>
      <x:c r="L204"/>
      <x:c r="M204"/>
      <x:c r="N204" s="13" t="str">
        <x:f>IF(I204="","",IF(I204&lt;='07_Regras_Complexidade'!$C$21,'07_Regras_Complexidade'!$D$21,IF(I204&lt;='07_Regras_Complexidade'!$C$22,'07_Regras_Complexidade'!$D$22,'07_Regras_Complexidade'!$D$23)))</x:f>
      </x:c>
      <x:c r="O204"/>
      <x:c r="P204"/>
      <x:c r="Q204"/>
      <x:c r="R204" s="13" t="str">
        <x:f>IF(B204="","",IF(OR(C204="Sem movimento",C204="Inativo",C204="Encerrado"),'07_Regras_Complexidade'!$E$11,IF(COUNT(N204:Q204)&lt;4,'07_Regras_Complexidade'!$E$17,IF(SUM(N204:Q204)&lt;='07_Regras_Complexidade'!$D$12,'07_Regras_Complexidade'!$E$12,IF(SUM(N204:Q204)&lt;='07_Regras_Complexidade'!$D$13,'07_Regras_Complexidade'!$E$13,IF(SUM(N204:Q204)&lt;='07_Regras_Complexidade'!$D$14,'07_Regras_Complexidade'!$E$14,IF(SUM(N204:Q204)&lt;='07_Regras_Complexidade'!$D$15,'07_Regras_Complexidade'!$E$15,'07_Regras_Complexidade'!$E$16)))))))</x:f>
      </x:c>
      <x:c r="S204"/>
    </x:row>
    <x:row r="205">
      <x:c r="A205"/>
      <x:c r="B205"/>
      <x:c r="C205"/>
      <x:c r="D205"/>
      <x:c r="E205"/>
      <x:c r="F205"/>
      <x:c r="G205"/>
      <x:c r="H205"/>
      <x:c r="I205" s="13" t="str">
        <x:f>IF(B205="","",IF(COUNT(F205:H205)&lt;3,"",SUM(F205:H205)))</x:f>
      </x:c>
      <x:c r="J205"/>
      <x:c r="K205"/>
      <x:c r="L205"/>
      <x:c r="M205"/>
      <x:c r="N205" s="13" t="str">
        <x:f>IF(I205="","",IF(I205&lt;='07_Regras_Complexidade'!$C$21,'07_Regras_Complexidade'!$D$21,IF(I205&lt;='07_Regras_Complexidade'!$C$22,'07_Regras_Complexidade'!$D$22,'07_Regras_Complexidade'!$D$23)))</x:f>
      </x:c>
      <x:c r="O205"/>
      <x:c r="P205"/>
      <x:c r="Q205"/>
      <x:c r="R205" s="13" t="str">
        <x:f>IF(B205="","",IF(OR(C205="Sem movimento",C205="Inativo",C205="Encerrado"),'07_Regras_Complexidade'!$E$11,IF(COUNT(N205:Q205)&lt;4,'07_Regras_Complexidade'!$E$17,IF(SUM(N205:Q205)&lt;='07_Regras_Complexidade'!$D$12,'07_Regras_Complexidade'!$E$12,IF(SUM(N205:Q205)&lt;='07_Regras_Complexidade'!$D$13,'07_Regras_Complexidade'!$E$13,IF(SUM(N205:Q205)&lt;='07_Regras_Complexidade'!$D$14,'07_Regras_Complexidade'!$E$14,IF(SUM(N205:Q205)&lt;='07_Regras_Complexidade'!$D$15,'07_Regras_Complexidade'!$E$15,'07_Regras_Complexidade'!$E$16)))))))</x:f>
      </x:c>
      <x:c r="S205"/>
    </x:row>
  </x:sheetData>
  <x:mergeCells>
    <x:mergeCell ref="A1:O1"/>
    <x:mergeCell ref="A2:O2"/>
  </x:mergeCells>
  <x:dataValidations count="7">
    <x:dataValidation type="list" allowBlank="1" showDropDown="0" sqref="C5:C205">
      <x:formula1>"Ativo,Sem movimento,Inativo,Encerrado"</x:formula1>
    </x:dataValidation>
    <x:dataValidation type="whole" errorStyle="stop" operator="greaterThanOrEqual" showErrorMessage="1" errorTitle="Quantidade inválida" error="Informe um número inteiro maior ou igual a zero." sqref="F5:H205">
      <x:formula1>0</x:formula1>
    </x:dataValidation>
    <x:dataValidation type="list" sqref="J5:J205">
      <x:formula1>'05_Cadastros'!$B$12:$B$18</x:formula1>
    </x:dataValidation>
    <x:dataValidation type="list" sqref="K5:K205">
      <x:formula1>'05_Cadastros'!$B$41:$B$47</x:formula1>
    </x:dataValidation>
    <x:dataValidation type="list" sqref="L5:L205">
      <x:formula1>'05_Cadastros'!$B$48:$B$54</x:formula1>
    </x:dataValidation>
    <x:dataValidation type="list" sqref="M5:M205">
      <x:formula1>'05_Cadastros'!$B$19:$B$24</x:formula1>
    </x:dataValidation>
    <x:dataValidation type="list" allowBlank="1" showDropDown="0" sqref="O5:Q205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cb0d8e64b54d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9" hidden="0" customWidth="1"/>
    <x:col min="2" max="3" width="36" customWidth="1"/>
    <x:col min="4" max="4" width="41" hidden="0" customWidth="1"/>
    <x:col min="5" max="5" width="10" hidden="0" customWidth="1"/>
    <x:col min="6" max="6" width="9" hidden="0" customWidth="1"/>
    <x:col min="2" max="2" width="31" hidden="0" customWidth="1"/>
    <x:col min="3" max="3" width="30" hidden="0" customWidth="1"/>
    <x:col min="7" max="7" width="34" hidden="0" customWidth="1"/>
  </x:cols>
  <x:sheetData>
    <x:row r="1" ht="26" customHeight="1">
      <x:c r="A1" s="9" t="str">
        <x:v>05 — CADASTROS PARAMETRIZÁVEIS</x:v>
      </x:c>
      <x:c r="B1" s="9"/>
      <x:c r="C1" s="9"/>
      <x:c r="D1" s="9"/>
      <x:c r="E1" s="9"/>
      <x:c r="F1" s="9"/>
      <x:c r="G1" s="9"/>
    </x:row>
    <x:row r="2" ht="24" customHeight="1">
      <x:c r="A2" s="12" t="str">
        <x:v>Categorias canônicas completas do MVP; opções específicas do escritório podem ser acrescentadas, sempre com mapeamento</x:v>
      </x:c>
      <x:c r="B2" s="12"/>
      <x:c r="C2" s="12"/>
      <x:c r="D2" s="12"/>
      <x:c r="E2" s="12"/>
      <x:c r="F2" s="12"/>
      <x:c r="G2" s="12"/>
    </x:row>
    <x:row r="4" ht="40" customHeight="1">
      <x:c r="A4" s="15" t="str">
        <x:v>Grupo</x:v>
      </x:c>
      <x:c r="B4" s="15" t="str">
        <x:v>Opção exibida pelo escritório</x:v>
      </x:c>
      <x:c r="C4" s="15" t="str">
        <x:v>Categoria canônica Sevilha</x:v>
      </x:c>
      <x:c r="D4" s="15" t="str">
        <x:v>Campo(s) de uso</x:v>
      </x:c>
      <x:c r="E4" s="15" t="str">
        <x:v>Ativo?</x:v>
      </x:c>
      <x:c r="F4" s="15" t="str">
        <x:v>Ordem</x:v>
      </x:c>
      <x:c r="G4" s="15" t="str">
        <x:v>Observação</x:v>
      </x:c>
    </x:row>
    <x:row r="5">
      <x:c r="A5" s="15" t="str">
        <x:v>Faixa de faturamento anual</x:v>
      </x:c>
      <x:c r="B5" s="15" t="str">
        <x:v>Até R$ 360 mil</x:v>
      </x:c>
      <x:c r="C5" s="15" t="str">
        <x:v>Até R$ 360 mil</x:v>
      </x:c>
      <x:c r="D5" s="15" t="str">
        <x:v>01_Clientes — Faixa faturamento anual</x:v>
      </x:c>
      <x:c r="E5" s="15" t="str">
        <x:v>Sim</x:v>
      </x:c>
      <x:c r="F5" s="15" t="n">
        <x:v>1</x:v>
      </x:c>
      <x:c r="G5" s="15" t="str">
        <x:v>Padrão canônico</x:v>
      </x:c>
    </x:row>
    <x:row r="6">
      <x:c r="A6" s="15" t="str">
        <x:v>Faixa de faturamento anual</x:v>
      </x:c>
      <x:c r="B6" s="15" t="str">
        <x:v>R$ 360 mil–1,2 mi</x:v>
      </x:c>
      <x:c r="C6" s="15" t="str">
        <x:v>R$ 360 mil–1,2 mi</x:v>
      </x:c>
      <x:c r="D6" s="15" t="str">
        <x:v>01_Clientes — Faixa faturamento anual</x:v>
      </x:c>
      <x:c r="E6" s="15" t="str">
        <x:v>Sim</x:v>
      </x:c>
      <x:c r="F6" s="15" t="n">
        <x:v>2</x:v>
      </x:c>
      <x:c r="G6" s="15" t="str">
        <x:v>Padrão canônico</x:v>
      </x:c>
    </x:row>
    <x:row r="7">
      <x:c r="A7" s="15" t="str">
        <x:v>Faixa de faturamento anual</x:v>
      </x:c>
      <x:c r="B7" s="15" t="str">
        <x:v>R$ 1,2–4,8 mi</x:v>
      </x:c>
      <x:c r="C7" s="15" t="str">
        <x:v>R$ 1,2–4,8 mi</x:v>
      </x:c>
      <x:c r="D7" s="15" t="str">
        <x:v>01_Clientes — Faixa faturamento anual</x:v>
      </x:c>
      <x:c r="E7" s="15" t="str">
        <x:v>Sim</x:v>
      </x:c>
      <x:c r="F7" s="15" t="n">
        <x:v>3</x:v>
      </x:c>
      <x:c r="G7" s="15" t="str">
        <x:v>Padrão canônico</x:v>
      </x:c>
    </x:row>
    <x:row r="8">
      <x:c r="A8" s="15" t="str">
        <x:v>Faixa de faturamento anual</x:v>
      </x:c>
      <x:c r="B8" s="15" t="str">
        <x:v>R$ 4,8–20 mi</x:v>
      </x:c>
      <x:c r="C8" s="15" t="str">
        <x:v>R$ 4,8–20 mi</x:v>
      </x:c>
      <x:c r="D8" s="15" t="str">
        <x:v>01_Clientes — Faixa faturamento anual</x:v>
      </x:c>
      <x:c r="E8" s="15" t="str">
        <x:v>Sim</x:v>
      </x:c>
      <x:c r="F8" s="15" t="n">
        <x:v>4</x:v>
      </x:c>
      <x:c r="G8" s="15" t="str">
        <x:v>Padrão canônico</x:v>
      </x:c>
    </x:row>
    <x:row r="9">
      <x:c r="A9" s="15" t="str">
        <x:v>Faixa de faturamento anual</x:v>
      </x:c>
      <x:c r="B9" s="15" t="str">
        <x:v>R$ 20–78 mi</x:v>
      </x:c>
      <x:c r="C9" s="15" t="str">
        <x:v>R$ 20–78 mi</x:v>
      </x:c>
      <x:c r="D9" s="15" t="str">
        <x:v>01_Clientes — Faixa faturamento anual</x:v>
      </x:c>
      <x:c r="E9" s="15" t="str">
        <x:v>Sim</x:v>
      </x:c>
      <x:c r="F9" s="15" t="n">
        <x:v>5</x:v>
      </x:c>
      <x:c r="G9" s="15" t="str">
        <x:v>Padrão canônico</x:v>
      </x:c>
    </x:row>
    <x:row r="10">
      <x:c r="A10" s="15" t="str">
        <x:v>Faixa de faturamento anual</x:v>
      </x:c>
      <x:c r="B10" s="15" t="str">
        <x:v>Acima de R$ 78 mi</x:v>
      </x:c>
      <x:c r="C10" s="15" t="str">
        <x:v>Acima de R$ 78 mi</x:v>
      </x:c>
      <x:c r="D10" s="15" t="str">
        <x:v>01_Clientes — Faixa faturamento anual</x:v>
      </x:c>
      <x:c r="E10" s="15" t="str">
        <x:v>Sim</x:v>
      </x:c>
      <x:c r="F10" s="15" t="n">
        <x:v>6</x:v>
      </x:c>
      <x:c r="G10" s="15" t="str">
        <x:v>Padrão canônico</x:v>
      </x:c>
    </x:row>
    <x:row r="11">
      <x:c r="A11" s="15" t="str">
        <x:v>Faixa de faturamento anual</x:v>
      </x:c>
      <x:c r="B11" s="15" t="str">
        <x:v>Não informado</x:v>
      </x:c>
      <x:c r="C11" s="15" t="str">
        <x:v>Não informado</x:v>
      </x:c>
      <x:c r="D11" s="15" t="str">
        <x:v>01_Clientes — Faixa faturamento anual</x:v>
      </x:c>
      <x:c r="E11" s="15" t="str">
        <x:v>Sim</x:v>
      </x:c>
      <x:c r="F11" s="15" t="n">
        <x:v>7</x:v>
      </x:c>
      <x:c r="G11" s="15" t="str">
        <x:v>Padrão canônico</x:v>
      </x:c>
    </x:row>
    <x:row r="12">
      <x:c r="A12" s="15" t="str">
        <x:v>Recebimento de documentos</x:v>
      </x:c>
      <x:c r="B12" s="15" t="str">
        <x:v>Plataforma integrada</x:v>
      </x:c>
      <x:c r="C12" s="15" t="str">
        <x:v>Plataforma integrada</x:v>
      </x:c>
      <x:c r="D12" s="15" t="str">
        <x:v>02_Fiscal!G; 03_Contabil!G; 04_Pessoal!J</x:v>
      </x:c>
      <x:c r="E12" s="15" t="str">
        <x:v>Sim</x:v>
      </x:c>
      <x:c r="F12" s="15" t="n">
        <x:v>1</x:v>
      </x:c>
      <x:c r="G12" s="15" t="str">
        <x:v>Opção padrão; pode receber nome local</x:v>
      </x:c>
    </x:row>
    <x:row r="13">
      <x:c r="A13" s="15" t="str">
        <x:v>Recebimento de documentos</x:v>
      </x:c>
      <x:c r="B13" s="15" t="str">
        <x:v>Portal</x:v>
      </x:c>
      <x:c r="C13" s="15" t="str">
        <x:v>Portal</x:v>
      </x:c>
      <x:c r="D13" s="15" t="str">
        <x:v>02_Fiscal!G; 03_Contabil!G; 04_Pessoal!J</x:v>
      </x:c>
      <x:c r="E13" s="15" t="str">
        <x:v>Sim</x:v>
      </x:c>
      <x:c r="F13" s="15" t="n">
        <x:v>2</x:v>
      </x:c>
      <x:c r="G13" s="15" t="str">
        <x:v>Opção padrão; pode receber nome local</x:v>
      </x:c>
    </x:row>
    <x:row r="14">
      <x:c r="A14" s="15" t="str">
        <x:v>Recebimento de documentos</x:v>
      </x:c>
      <x:c r="B14" s="15" t="str">
        <x:v>E-mail</x:v>
      </x:c>
      <x:c r="C14" s="15" t="str">
        <x:v>E-mail</x:v>
      </x:c>
      <x:c r="D14" s="15" t="str">
        <x:v>02_Fiscal!G; 03_Contabil!G; 04_Pessoal!J</x:v>
      </x:c>
      <x:c r="E14" s="15" t="str">
        <x:v>Sim</x:v>
      </x:c>
      <x:c r="F14" s="15" t="n">
        <x:v>3</x:v>
      </x:c>
      <x:c r="G14" s="15" t="str">
        <x:v>Opção padrão; pode receber nome local</x:v>
      </x:c>
    </x:row>
    <x:row r="15">
      <x:c r="A15" s="15" t="str">
        <x:v>Recebimento de documentos</x:v>
      </x:c>
      <x:c r="B15" s="15" t="str">
        <x:v>Mensageria</x:v>
      </x:c>
      <x:c r="C15" s="15" t="str">
        <x:v>Mensageria</x:v>
      </x:c>
      <x:c r="D15" s="15" t="str">
        <x:v>02_Fiscal!G; 03_Contabil!G; 04_Pessoal!J</x:v>
      </x:c>
      <x:c r="E15" s="15" t="str">
        <x:v>Sim</x:v>
      </x:c>
      <x:c r="F15" s="15" t="n">
        <x:v>4</x:v>
      </x:c>
      <x:c r="G15" s="15" t="str">
        <x:v>Ex.: WhatsApp</x:v>
      </x:c>
    </x:row>
    <x:row r="16">
      <x:c r="A16" s="15" t="str">
        <x:v>Recebimento de documentos</x:v>
      </x:c>
      <x:c r="B16" s="15" t="str">
        <x:v>Manual/Físico</x:v>
      </x:c>
      <x:c r="C16" s="15" t="str">
        <x:v>Manual/Físico</x:v>
      </x:c>
      <x:c r="D16" s="15" t="str">
        <x:v>02_Fiscal!G; 03_Contabil!G; 04_Pessoal!J</x:v>
      </x:c>
      <x:c r="E16" s="15" t="str">
        <x:v>Sim</x:v>
      </x:c>
      <x:c r="F16" s="15" t="n">
        <x:v>5</x:v>
      </x:c>
      <x:c r="G16" s="15" t="str">
        <x:v>Ex.: malote ou entrega presencial</x:v>
      </x:c>
    </x:row>
    <x:row r="17">
      <x:c r="A17" s="15" t="str">
        <x:v>Recebimento de documentos</x:v>
      </x:c>
      <x:c r="B17" s="15" t="str">
        <x:v>Acesso ao sistema do cliente</x:v>
      </x:c>
      <x:c r="C17" s="15" t="str">
        <x:v>Acesso ao sistema do cliente</x:v>
      </x:c>
      <x:c r="D17" s="15" t="str">
        <x:v>02_Fiscal!G; 03_Contabil!G; 04_Pessoal!J</x:v>
      </x:c>
      <x:c r="E17" s="15" t="str">
        <x:v>Sim</x:v>
      </x:c>
      <x:c r="F17" s="15" t="n">
        <x:v>6</x:v>
      </x:c>
      <x:c r="G17" s="15" t="str">
        <x:v>Acesso direto, sem envio do cliente</x:v>
      </x:c>
    </x:row>
    <x:row r="18">
      <x:c r="A18" s="15" t="str">
        <x:v>Recebimento de documentos</x:v>
      </x:c>
      <x:c r="B18" s="15" t="str">
        <x:v>Não se aplica</x:v>
      </x:c>
      <x:c r="C18" s="15" t="str">
        <x:v>Não se aplica</x:v>
      </x:c>
      <x:c r="D18" s="15" t="str">
        <x:v>02_Fiscal!G; 03_Contabil!G; 04_Pessoal!J</x:v>
      </x:c>
      <x:c r="E18" s="15" t="str">
        <x:v>Sim</x:v>
      </x:c>
      <x:c r="F18" s="15" t="n">
        <x:v>7</x:v>
      </x:c>
      <x:c r="G18" s="15" t="str">
        <x:v>Usar somente quando o campo não se aplicar</x:v>
      </x:c>
    </x:row>
    <x:row r="19">
      <x:c r="A19" s="15" t="str">
        <x:v>Envio de documentos</x:v>
      </x:c>
      <x:c r="B19" s="15" t="str">
        <x:v>Plataforma integrada</x:v>
      </x:c>
      <x:c r="C19" s="15" t="str">
        <x:v>Plataforma integrada</x:v>
      </x:c>
      <x:c r="D19" s="15" t="str">
        <x:v>02_Fiscal!H; 03_Contabil!H; 04_Pessoal!M</x:v>
      </x:c>
      <x:c r="E19" s="15" t="str">
        <x:v>Sim</x:v>
      </x:c>
      <x:c r="F19" s="15" t="n">
        <x:v>1</x:v>
      </x:c>
      <x:c r="G19" s="15" t="str">
        <x:v>Opção padrão; pode receber nome local</x:v>
      </x:c>
    </x:row>
    <x:row r="20">
      <x:c r="A20" s="15" t="str">
        <x:v>Envio de documentos</x:v>
      </x:c>
      <x:c r="B20" s="15" t="str">
        <x:v>Portal</x:v>
      </x:c>
      <x:c r="C20" s="15" t="str">
        <x:v>Portal</x:v>
      </x:c>
      <x:c r="D20" s="15" t="str">
        <x:v>02_Fiscal!H; 03_Contabil!H; 04_Pessoal!M</x:v>
      </x:c>
      <x:c r="E20" s="15" t="str">
        <x:v>Sim</x:v>
      </x:c>
      <x:c r="F20" s="15" t="n">
        <x:v>2</x:v>
      </x:c>
      <x:c r="G20" s="15" t="str">
        <x:v>Opção padrão; pode receber nome local</x:v>
      </x:c>
    </x:row>
    <x:row r="21">
      <x:c r="A21" s="15" t="str">
        <x:v>Envio de documentos</x:v>
      </x:c>
      <x:c r="B21" s="15" t="str">
        <x:v>E-mail</x:v>
      </x:c>
      <x:c r="C21" s="15" t="str">
        <x:v>E-mail</x:v>
      </x:c>
      <x:c r="D21" s="15" t="str">
        <x:v>02_Fiscal!H; 03_Contabil!H; 04_Pessoal!M</x:v>
      </x:c>
      <x:c r="E21" s="15" t="str">
        <x:v>Sim</x:v>
      </x:c>
      <x:c r="F21" s="15" t="n">
        <x:v>3</x:v>
      </x:c>
      <x:c r="G21" s="15" t="str">
        <x:v>Opção padrão; pode receber nome local</x:v>
      </x:c>
    </x:row>
    <x:row r="22">
      <x:c r="A22" s="15" t="str">
        <x:v>Envio de documentos</x:v>
      </x:c>
      <x:c r="B22" s="15" t="str">
        <x:v>Mensageria</x:v>
      </x:c>
      <x:c r="C22" s="15" t="str">
        <x:v>Mensageria</x:v>
      </x:c>
      <x:c r="D22" s="15" t="str">
        <x:v>02_Fiscal!H; 03_Contabil!H; 04_Pessoal!M</x:v>
      </x:c>
      <x:c r="E22" s="15" t="str">
        <x:v>Sim</x:v>
      </x:c>
      <x:c r="F22" s="15" t="n">
        <x:v>4</x:v>
      </x:c>
      <x:c r="G22" s="15" t="str">
        <x:v>Ex.: WhatsApp</x:v>
      </x:c>
    </x:row>
    <x:row r="23">
      <x:c r="A23" s="15" t="str">
        <x:v>Envio de documentos</x:v>
      </x:c>
      <x:c r="B23" s="15" t="str">
        <x:v>Manual/Físico</x:v>
      </x:c>
      <x:c r="C23" s="15" t="str">
        <x:v>Manual/Físico</x:v>
      </x:c>
      <x:c r="D23" s="15" t="str">
        <x:v>02_Fiscal!H; 03_Contabil!H; 04_Pessoal!M</x:v>
      </x:c>
      <x:c r="E23" s="15" t="str">
        <x:v>Sim</x:v>
      </x:c>
      <x:c r="F23" s="15" t="n">
        <x:v>5</x:v>
      </x:c>
      <x:c r="G23" s="15" t="str">
        <x:v>Ex.: malote ou entrega presencial</x:v>
      </x:c>
    </x:row>
    <x:row r="24">
      <x:c r="A24" s="15" t="str">
        <x:v>Envio de documentos</x:v>
      </x:c>
      <x:c r="B24" s="15" t="str">
        <x:v>Não se aplica</x:v>
      </x:c>
      <x:c r="C24" s="15" t="str">
        <x:v>Não se aplica</x:v>
      </x:c>
      <x:c r="D24" s="15" t="str">
        <x:v>02_Fiscal!H; 03_Contabil!H; 04_Pessoal!M</x:v>
      </x:c>
      <x:c r="E24" s="15" t="str">
        <x:v>Sim</x:v>
      </x:c>
      <x:c r="F24" s="15" t="n">
        <x:v>6</x:v>
      </x:c>
      <x:c r="G24" s="15" t="str">
        <x:v>Usar somente quando o campo não se aplicar</x:v>
      </x:c>
    </x:row>
    <x:row r="25">
      <x:c r="A25" s="15" t="str">
        <x:v>Integração</x:v>
      </x:c>
      <x:c r="B25" s="15" t="str">
        <x:v>Automática/API</x:v>
      </x:c>
      <x:c r="C25" s="15" t="str">
        <x:v>Integração automática</x:v>
      </x:c>
      <x:c r="D25" s="15" t="str">
        <x:v>02_Fiscal!I; 03_Contabil!I</x:v>
      </x:c>
      <x:c r="E25" s="15" t="str">
        <x:v>Sim</x:v>
      </x:c>
      <x:c r="F25" s="15" t="n">
        <x:v>1</x:v>
      </x:c>
      <x:c r="G25" s="15" t="str">
        <x:v>Ex.: API ou integração nativa</x:v>
      </x:c>
    </x:row>
    <x:row r="26">
      <x:c r="A26" s="15" t="str">
        <x:v>Integração</x:v>
      </x:c>
      <x:c r="B26" s="15" t="str">
        <x:v>Importação de arquivo</x:v>
      </x:c>
      <x:c r="C26" s="15" t="str">
        <x:v>Importação de arquivo</x:v>
      </x:c>
      <x:c r="D26" s="15" t="str">
        <x:v>02_Fiscal!I; 03_Contabil!I</x:v>
      </x:c>
      <x:c r="E26" s="15" t="str">
        <x:v>Sim</x:v>
      </x:c>
      <x:c r="F26" s="15" t="n">
        <x:v>2</x:v>
      </x:c>
      <x:c r="G26" s="15" t="str">
        <x:v>Ex.: XML, CSV ou arquivo estruturado</x:v>
      </x:c>
    </x:row>
    <x:row r="27">
      <x:c r="A27" s="15" t="str">
        <x:v>Integração</x:v>
      </x:c>
      <x:c r="B27" s="15" t="str">
        <x:v>Acesso direto ao sistema</x:v>
      </x:c>
      <x:c r="C27" s="15" t="str">
        <x:v>Acesso direto ao sistema</x:v>
      </x:c>
      <x:c r="D27" s="15" t="str">
        <x:v>02_Fiscal!I; 03_Contabil!I</x:v>
      </x:c>
      <x:c r="E27" s="15" t="str">
        <x:v>Sim</x:v>
      </x:c>
      <x:c r="F27" s="15" t="n">
        <x:v>3</x:v>
      </x:c>
      <x:c r="G27" s="15" t="str">
        <x:v>Operação no ambiente do cliente</x:v>
      </x:c>
    </x:row>
    <x:row r="28">
      <x:c r="A28" s="15" t="str">
        <x:v>Integração</x:v>
      </x:c>
      <x:c r="B28" s="15" t="str">
        <x:v>Híbrida</x:v>
      </x:c>
      <x:c r="C28" s="15" t="str">
        <x:v>Híbrida</x:v>
      </x:c>
      <x:c r="D28" s="15" t="str">
        <x:v>02_Fiscal!I; 03_Contabil!I</x:v>
      </x:c>
      <x:c r="E28" s="15" t="str">
        <x:v>Sim</x:v>
      </x:c>
      <x:c r="F28" s="15" t="n">
        <x:v>4</x:v>
      </x:c>
      <x:c r="G28" s="15" t="str">
        <x:v>Combina integração e tratamento manual</x:v>
      </x:c>
    </x:row>
    <x:row r="29">
      <x:c r="A29" s="15" t="str">
        <x:v>Integração</x:v>
      </x:c>
      <x:c r="B29" s="15" t="str">
        <x:v>Sem integração</x:v>
      </x:c>
      <x:c r="C29" s="15" t="str">
        <x:v>Sem integração</x:v>
      </x:c>
      <x:c r="D29" s="15" t="str">
        <x:v>02_Fiscal!I; 03_Contabil!I</x:v>
      </x:c>
      <x:c r="E29" s="15" t="str">
        <x:v>Sim</x:v>
      </x:c>
      <x:c r="F29" s="15" t="n">
        <x:v>5</x:v>
      </x:c>
      <x:c r="G29" s="15" t="str">
        <x:v>Processamento manual</x:v>
      </x:c>
    </x:row>
    <x:row r="30">
      <x:c r="A30" s="15" t="str">
        <x:v>Forma de lançamento</x:v>
      </x:c>
      <x:c r="B30" s="15" t="str">
        <x:v>Manual</x:v>
      </x:c>
      <x:c r="C30" s="15" t="str">
        <x:v>Manual</x:v>
      </x:c>
      <x:c r="D30" s="15" t="str">
        <x:v>03_Contabil!J</x:v>
      </x:c>
      <x:c r="E30" s="15" t="str">
        <x:v>Sim</x:v>
      </x:c>
      <x:c r="F30" s="15" t="n">
        <x:v>1</x:v>
      </x:c>
      <x:c r="G30" s="15" t="str">
        <x:v>Digitação manual</x:v>
      </x:c>
    </x:row>
    <x:row r="31">
      <x:c r="A31" s="15" t="str">
        <x:v>Forma de lançamento</x:v>
      </x:c>
      <x:c r="B31" s="15" t="str">
        <x:v>Importação de arquivo</x:v>
      </x:c>
      <x:c r="C31" s="15" t="str">
        <x:v>Importação de arquivo</x:v>
      </x:c>
      <x:c r="D31" s="15" t="str">
        <x:v>03_Contabil!J</x:v>
      </x:c>
      <x:c r="E31" s="15" t="str">
        <x:v>Sim</x:v>
      </x:c>
      <x:c r="F31" s="15" t="n">
        <x:v>2</x:v>
      </x:c>
      <x:c r="G31" s="15" t="str">
        <x:v>Carga de arquivo estruturado</x:v>
      </x:c>
    </x:row>
    <x:row r="32">
      <x:c r="A32" s="15" t="str">
        <x:v>Forma de lançamento</x:v>
      </x:c>
      <x:c r="B32" s="15" t="str">
        <x:v>Integração automática</x:v>
      </x:c>
      <x:c r="C32" s="15" t="str">
        <x:v>Integração automática</x:v>
      </x:c>
      <x:c r="D32" s="15" t="str">
        <x:v>03_Contabil!J</x:v>
      </x:c>
      <x:c r="E32" s="15" t="str">
        <x:v>Sim</x:v>
      </x:c>
      <x:c r="F32" s="15" t="n">
        <x:v>3</x:v>
      </x:c>
      <x:c r="G32" s="15" t="str">
        <x:v>Integração sem redigitação</x:v>
      </x:c>
    </x:row>
    <x:row r="33">
      <x:c r="A33" s="15" t="str">
        <x:v>Forma de lançamento</x:v>
      </x:c>
      <x:c r="B33" s="15" t="str">
        <x:v>Mista</x:v>
      </x:c>
      <x:c r="C33" s="15" t="str">
        <x:v>Mista</x:v>
      </x:c>
      <x:c r="D33" s="15" t="str">
        <x:v>03_Contabil!J</x:v>
      </x:c>
      <x:c r="E33" s="15" t="str">
        <x:v>Sim</x:v>
      </x:c>
      <x:c r="F33" s="15" t="n">
        <x:v>4</x:v>
      </x:c>
      <x:c r="G33" s="15" t="str">
        <x:v>Combina mais de uma forma</x:v>
      </x:c>
    </x:row>
    <x:row r="34">
      <x:c r="A34" s="15" t="str">
        <x:v>Periodicidade de fechamento</x:v>
      </x:c>
      <x:c r="B34" s="15" t="str">
        <x:v>Mensal</x:v>
      </x:c>
      <x:c r="C34" s="15" t="str">
        <x:v>Mensal</x:v>
      </x:c>
      <x:c r="D34" s="15" t="str">
        <x:v>03_Contabil!K</x:v>
      </x:c>
      <x:c r="E34" s="15" t="str">
        <x:v>Sim</x:v>
      </x:c>
      <x:c r="F34" s="15" t="n">
        <x:v>1</x:v>
      </x:c>
      <x:c r="G34" s="15" t="str">
        <x:v>Padrão canônico</x:v>
      </x:c>
    </x:row>
    <x:row r="35">
      <x:c r="A35" s="15" t="str">
        <x:v>Periodicidade de fechamento</x:v>
      </x:c>
      <x:c r="B35" s="15" t="str">
        <x:v>Bimestral</x:v>
      </x:c>
      <x:c r="C35" s="15" t="str">
        <x:v>Bimestral</x:v>
      </x:c>
      <x:c r="D35" s="15" t="str">
        <x:v>03_Contabil!K</x:v>
      </x:c>
      <x:c r="E35" s="15" t="str">
        <x:v>Sim</x:v>
      </x:c>
      <x:c r="F35" s="15" t="n">
        <x:v>2</x:v>
      </x:c>
      <x:c r="G35" s="15" t="str">
        <x:v>Padrão canônico</x:v>
      </x:c>
    </x:row>
    <x:row r="36">
      <x:c r="A36" s="15" t="str">
        <x:v>Periodicidade de fechamento</x:v>
      </x:c>
      <x:c r="B36" s="15" t="str">
        <x:v>Trimestral</x:v>
      </x:c>
      <x:c r="C36" s="15" t="str">
        <x:v>Trimestral</x:v>
      </x:c>
      <x:c r="D36" s="15" t="str">
        <x:v>03_Contabil!K</x:v>
      </x:c>
      <x:c r="E36" s="15" t="str">
        <x:v>Sim</x:v>
      </x:c>
      <x:c r="F36" s="15" t="n">
        <x:v>3</x:v>
      </x:c>
      <x:c r="G36" s="15" t="str">
        <x:v>Padrão canônico</x:v>
      </x:c>
    </x:row>
    <x:row r="37">
      <x:c r="A37" s="15" t="str">
        <x:v>Periodicidade de fechamento</x:v>
      </x:c>
      <x:c r="B37" s="15" t="str">
        <x:v>Quadrimestral</x:v>
      </x:c>
      <x:c r="C37" s="15" t="str">
        <x:v>Quadrimestral</x:v>
      </x:c>
      <x:c r="D37" s="15" t="str">
        <x:v>03_Contabil!K</x:v>
      </x:c>
      <x:c r="E37" s="15" t="str">
        <x:v>Sim</x:v>
      </x:c>
      <x:c r="F37" s="15" t="n">
        <x:v>4</x:v>
      </x:c>
      <x:c r="G37" s="15" t="str">
        <x:v>Padrão canônico</x:v>
      </x:c>
    </x:row>
    <x:row r="38">
      <x:c r="A38" s="15" t="str">
        <x:v>Periodicidade de fechamento</x:v>
      </x:c>
      <x:c r="B38" s="15" t="str">
        <x:v>Semestral</x:v>
      </x:c>
      <x:c r="C38" s="15" t="str">
        <x:v>Semestral</x:v>
      </x:c>
      <x:c r="D38" s="15" t="str">
        <x:v>03_Contabil!K</x:v>
      </x:c>
      <x:c r="E38" s="15" t="str">
        <x:v>Sim</x:v>
      </x:c>
      <x:c r="F38" s="15" t="n">
        <x:v>5</x:v>
      </x:c>
      <x:c r="G38" s="15" t="str">
        <x:v>Padrão canônico</x:v>
      </x:c>
    </x:row>
    <x:row r="39">
      <x:c r="A39" s="15" t="str">
        <x:v>Periodicidade de fechamento</x:v>
      </x:c>
      <x:c r="B39" s="15" t="str">
        <x:v>Anual</x:v>
      </x:c>
      <x:c r="C39" s="15" t="str">
        <x:v>Anual</x:v>
      </x:c>
      <x:c r="D39" s="15" t="str">
        <x:v>03_Contabil!K</x:v>
      </x:c>
      <x:c r="E39" s="15" t="str">
        <x:v>Sim</x:v>
      </x:c>
      <x:c r="F39" s="15" t="n">
        <x:v>6</x:v>
      </x:c>
      <x:c r="G39" s="15" t="str">
        <x:v>Padrão canônico</x:v>
      </x:c>
    </x:row>
    <x:row r="40">
      <x:c r="A40" s="15" t="str">
        <x:v>Periodicidade de fechamento</x:v>
      </x:c>
      <x:c r="B40" s="15" t="str">
        <x:v>Sob demanda/Irregular</x:v>
      </x:c>
      <x:c r="C40" s="15" t="str">
        <x:v>Sob demanda/Irregular</x:v>
      </x:c>
      <x:c r="D40" s="15" t="str">
        <x:v>03_Contabil!K</x:v>
      </x:c>
      <x:c r="E40" s="15" t="str">
        <x:v>Sim</x:v>
      </x:c>
      <x:c r="F40" s="15" t="n">
        <x:v>7</x:v>
      </x:c>
      <x:c r="G40" s="15" t="str">
        <x:v>Evita categoria canônica genérica Outro</x:v>
      </x:c>
    </x:row>
    <x:row r="41">
      <x:c r="A41" s="15" t="str">
        <x:v>Recebimento de variáveis</x:v>
      </x:c>
      <x:c r="B41" s="15" t="str">
        <x:v>Portal/Formulário</x:v>
      </x:c>
      <x:c r="C41" s="15" t="str">
        <x:v>Portal/Formulário</x:v>
      </x:c>
      <x:c r="D41" s="15" t="str">
        <x:v>04_Pessoal!K</x:v>
      </x:c>
      <x:c r="E41" s="15" t="str">
        <x:v>Sim</x:v>
      </x:c>
      <x:c r="F41" s="15" t="n">
        <x:v>1</x:v>
      </x:c>
      <x:c r="G41" s="15" t="str">
        <x:v>Opção padrão; pode receber nome local</x:v>
      </x:c>
    </x:row>
    <x:row r="42">
      <x:c r="A42" s="15" t="str">
        <x:v>Recebimento de variáveis</x:v>
      </x:c>
      <x:c r="B42" s="15" t="str">
        <x:v>Planilha/Arquivo</x:v>
      </x:c>
      <x:c r="C42" s="15" t="str">
        <x:v>Planilha/Arquivo</x:v>
      </x:c>
      <x:c r="D42" s="15" t="str">
        <x:v>04_Pessoal!K</x:v>
      </x:c>
      <x:c r="E42" s="15" t="str">
        <x:v>Sim</x:v>
      </x:c>
      <x:c r="F42" s="15" t="n">
        <x:v>2</x:v>
      </x:c>
      <x:c r="G42" s="15" t="str">
        <x:v>Arquivo preenchido pelo cliente</x:v>
      </x:c>
    </x:row>
    <x:row r="43">
      <x:c r="A43" s="15" t="str">
        <x:v>Recebimento de variáveis</x:v>
      </x:c>
      <x:c r="B43" s="15" t="str">
        <x:v>E-mail</x:v>
      </x:c>
      <x:c r="C43" s="15" t="str">
        <x:v>E-mail</x:v>
      </x:c>
      <x:c r="D43" s="15" t="str">
        <x:v>04_Pessoal!K</x:v>
      </x:c>
      <x:c r="E43" s="15" t="str">
        <x:v>Sim</x:v>
      </x:c>
      <x:c r="F43" s="15" t="n">
        <x:v>3</x:v>
      </x:c>
      <x:c r="G43" s="15" t="str">
        <x:v>Opção padrão</x:v>
      </x:c>
    </x:row>
    <x:row r="44">
      <x:c r="A44" s="15" t="str">
        <x:v>Recebimento de variáveis</x:v>
      </x:c>
      <x:c r="B44" s="15" t="str">
        <x:v>Mensageria</x:v>
      </x:c>
      <x:c r="C44" s="15" t="str">
        <x:v>Mensageria</x:v>
      </x:c>
      <x:c r="D44" s="15" t="str">
        <x:v>04_Pessoal!K</x:v>
      </x:c>
      <x:c r="E44" s="15" t="str">
        <x:v>Sim</x:v>
      </x:c>
      <x:c r="F44" s="15" t="n">
        <x:v>4</x:v>
      </x:c>
      <x:c r="G44" s="15" t="str">
        <x:v>Ex.: WhatsApp</x:v>
      </x:c>
    </x:row>
    <x:row r="45">
      <x:c r="A45" s="15" t="str">
        <x:v>Recebimento de variáveis</x:v>
      </x:c>
      <x:c r="B45" s="15" t="str">
        <x:v>Sistema integrado</x:v>
      </x:c>
      <x:c r="C45" s="15" t="str">
        <x:v>Sistema integrado</x:v>
      </x:c>
      <x:c r="D45" s="15" t="str">
        <x:v>04_Pessoal!K</x:v>
      </x:c>
      <x:c r="E45" s="15" t="str">
        <x:v>Sim</x:v>
      </x:c>
      <x:c r="F45" s="15" t="n">
        <x:v>5</x:v>
      </x:c>
      <x:c r="G45" s="15" t="str">
        <x:v>Integração com sistema de origem</x:v>
      </x:c>
    </x:row>
    <x:row r="46">
      <x:c r="A46" s="15" t="str">
        <x:v>Recebimento de variáveis</x:v>
      </x:c>
      <x:c r="B46" s="15" t="str">
        <x:v>Manual/Físico</x:v>
      </x:c>
      <x:c r="C46" s="15" t="str">
        <x:v>Manual/Físico</x:v>
      </x:c>
      <x:c r="D46" s="15" t="str">
        <x:v>04_Pessoal!K</x:v>
      </x:c>
      <x:c r="E46" s="15" t="str">
        <x:v>Sim</x:v>
      </x:c>
      <x:c r="F46" s="15" t="n">
        <x:v>6</x:v>
      </x:c>
      <x:c r="G46" s="15" t="str">
        <x:v>Ex.: papel ou entrega presencial</x:v>
      </x:c>
    </x:row>
    <x:row r="47">
      <x:c r="A47" s="15" t="str">
        <x:v>Recebimento de variáveis</x:v>
      </x:c>
      <x:c r="B47" s="15" t="str">
        <x:v>Sem variáveis</x:v>
      </x:c>
      <x:c r="C47" s="15" t="str">
        <x:v>Sem variáveis</x:v>
      </x:c>
      <x:c r="D47" s="15" t="str">
        <x:v>04_Pessoal!K</x:v>
      </x:c>
      <x:c r="E47" s="15" t="str">
        <x:v>Sim</x:v>
      </x:c>
      <x:c r="F47" s="15" t="n">
        <x:v>7</x:v>
      </x:c>
      <x:c r="G47" s="15" t="str">
        <x:v>Cliente sem movimentações variáveis</x:v>
      </x:c>
    </x:row>
    <x:row r="48">
      <x:c r="A48" s="15" t="str">
        <x:v>Recebimento de ponto</x:v>
      </x:c>
      <x:c r="B48" s="15" t="str">
        <x:v>Sistema de ponto integrado</x:v>
      </x:c>
      <x:c r="C48" s="15" t="str">
        <x:v>Sistema de ponto integrado</x:v>
      </x:c>
      <x:c r="D48" s="15" t="str">
        <x:v>04_Pessoal!L</x:v>
      </x:c>
      <x:c r="E48" s="15" t="str">
        <x:v>Sim</x:v>
      </x:c>
      <x:c r="F48" s="15" t="n">
        <x:v>1</x:v>
      </x:c>
      <x:c r="G48" s="15" t="str">
        <x:v>Integração com sistema de ponto</x:v>
      </x:c>
    </x:row>
    <x:row r="49">
      <x:c r="A49" s="15" t="str">
        <x:v>Recebimento de ponto</x:v>
      </x:c>
      <x:c r="B49" s="15" t="str">
        <x:v>Arquivo/Exportação</x:v>
      </x:c>
      <x:c r="C49" s="15" t="str">
        <x:v>Arquivo/Exportação</x:v>
      </x:c>
      <x:c r="D49" s="15" t="str">
        <x:v>04_Pessoal!L</x:v>
      </x:c>
      <x:c r="E49" s="15" t="str">
        <x:v>Sim</x:v>
      </x:c>
      <x:c r="F49" s="15" t="n">
        <x:v>2</x:v>
      </x:c>
      <x:c r="G49" s="15" t="str">
        <x:v>Arquivo gerado pelo controle de ponto</x:v>
      </x:c>
    </x:row>
    <x:row r="50">
      <x:c r="A50" s="15" t="str">
        <x:v>Recebimento de ponto</x:v>
      </x:c>
      <x:c r="B50" s="15" t="str">
        <x:v>Planilha</x:v>
      </x:c>
      <x:c r="C50" s="15" t="str">
        <x:v>Planilha</x:v>
      </x:c>
      <x:c r="D50" s="15" t="str">
        <x:v>04_Pessoal!L</x:v>
      </x:c>
      <x:c r="E50" s="15" t="str">
        <x:v>Sim</x:v>
      </x:c>
      <x:c r="F50" s="15" t="n">
        <x:v>3</x:v>
      </x:c>
      <x:c r="G50" s="15" t="str">
        <x:v>Apuração em planilha</x:v>
      </x:c>
    </x:row>
    <x:row r="51">
      <x:c r="A51" s="15" t="str">
        <x:v>Recebimento de ponto</x:v>
      </x:c>
      <x:c r="B51" s="15" t="str">
        <x:v>E-mail</x:v>
      </x:c>
      <x:c r="C51" s="15" t="str">
        <x:v>E-mail</x:v>
      </x:c>
      <x:c r="D51" s="15" t="str">
        <x:v>04_Pessoal!L</x:v>
      </x:c>
      <x:c r="E51" s="15" t="str">
        <x:v>Sim</x:v>
      </x:c>
      <x:c r="F51" s="15" t="n">
        <x:v>4</x:v>
      </x:c>
      <x:c r="G51" s="15" t="str">
        <x:v>Opção padrão</x:v>
      </x:c>
    </x:row>
    <x:row r="52">
      <x:c r="A52" s="15" t="str">
        <x:v>Recebimento de ponto</x:v>
      </x:c>
      <x:c r="B52" s="15" t="str">
        <x:v>Mensageria</x:v>
      </x:c>
      <x:c r="C52" s="15" t="str">
        <x:v>Mensageria</x:v>
      </x:c>
      <x:c r="D52" s="15" t="str">
        <x:v>04_Pessoal!L</x:v>
      </x:c>
      <x:c r="E52" s="15" t="str">
        <x:v>Sim</x:v>
      </x:c>
      <x:c r="F52" s="15" t="n">
        <x:v>5</x:v>
      </x:c>
      <x:c r="G52" s="15" t="str">
        <x:v>Ex.: WhatsApp</x:v>
      </x:c>
    </x:row>
    <x:row r="53">
      <x:c r="A53" s="15" t="str">
        <x:v>Recebimento de ponto</x:v>
      </x:c>
      <x:c r="B53" s="15" t="str">
        <x:v>Manual/Físico</x:v>
      </x:c>
      <x:c r="C53" s="15" t="str">
        <x:v>Manual/Físico</x:v>
      </x:c>
      <x:c r="D53" s="15" t="str">
        <x:v>04_Pessoal!L</x:v>
      </x:c>
      <x:c r="E53" s="15" t="str">
        <x:v>Sim</x:v>
      </x:c>
      <x:c r="F53" s="15" t="n">
        <x:v>6</x:v>
      </x:c>
      <x:c r="G53" s="15" t="str">
        <x:v>Ex.: cartão ou espelho físico</x:v>
      </x:c>
    </x:row>
    <x:row r="54">
      <x:c r="A54" s="15" t="str">
        <x:v>Recebimento de ponto</x:v>
      </x:c>
      <x:c r="B54" s="15" t="str">
        <x:v>Não utiliza controle de ponto</x:v>
      </x:c>
      <x:c r="C54" s="15" t="str">
        <x:v>Não utiliza controle de ponto</x:v>
      </x:c>
      <x:c r="D54" s="15" t="str">
        <x:v>04_Pessoal!L</x:v>
      </x:c>
      <x:c r="E54" s="15" t="str">
        <x:v>Sim</x:v>
      </x:c>
      <x:c r="F54" s="15" t="n">
        <x:v>7</x:v>
      </x:c>
      <x:c r="G54" s="15" t="str">
        <x:v>Campo não aplicável ao cliente</x:v>
      </x:c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  <x:row r="61">
      <x:c r="A61"/>
      <x:c r="B61"/>
      <x:c r="C61"/>
      <x:c r="D61"/>
      <x:c r="E61"/>
      <x:c r="F61"/>
    </x:row>
    <x:row r="62">
      <x:c r="A62"/>
      <x:c r="B62"/>
      <x:c r="C62"/>
      <x:c r="D62"/>
      <x:c r="E62"/>
      <x:c r="F62"/>
    </x:row>
    <x:row r="63">
      <x:c r="A63"/>
      <x:c r="B63"/>
      <x:c r="C63"/>
      <x:c r="D63"/>
      <x:c r="E63"/>
      <x:c r="F63"/>
    </x:row>
    <x:row r="64">
      <x:c r="A64"/>
      <x:c r="B64"/>
      <x:c r="C64"/>
      <x:c r="D64"/>
      <x:c r="E64"/>
      <x:c r="F64"/>
    </x:row>
    <x:row r="65">
      <x:c r="A65"/>
      <x:c r="B65"/>
      <x:c r="C65"/>
      <x:c r="D65"/>
      <x:c r="E65"/>
      <x:c r="F65"/>
    </x:row>
    <x:row r="66">
      <x:c r="A66"/>
      <x:c r="B66"/>
      <x:c r="C66"/>
      <x:c r="D66"/>
      <x:c r="E66"/>
      <x:c r="F66"/>
    </x:row>
    <x:row r="67">
      <x:c r="A67"/>
      <x:c r="B67"/>
      <x:c r="C67"/>
      <x:c r="D67"/>
      <x:c r="E67"/>
      <x:c r="F67"/>
    </x:row>
    <x:row r="68">
      <x:c r="A68"/>
      <x:c r="B68"/>
      <x:c r="C68"/>
      <x:c r="D68"/>
      <x:c r="E68"/>
      <x:c r="F68"/>
    </x:row>
    <x:row r="69">
      <x:c r="A69"/>
      <x:c r="B69"/>
      <x:c r="C69"/>
      <x:c r="D69"/>
      <x:c r="E69"/>
      <x:c r="F69"/>
    </x:row>
    <x:row r="70">
      <x:c r="A70"/>
      <x:c r="B70"/>
      <x:c r="C70"/>
      <x:c r="D70"/>
      <x:c r="E70"/>
      <x:c r="F70"/>
    </x:row>
    <x:row r="71">
      <x:c r="A71"/>
      <x:c r="B71"/>
      <x:c r="C71"/>
      <x:c r="D71"/>
      <x:c r="E71"/>
      <x:c r="F71"/>
    </x:row>
    <x:row r="72">
      <x:c r="A72"/>
      <x:c r="B72"/>
      <x:c r="C72"/>
      <x:c r="D72"/>
      <x:c r="E72"/>
      <x:c r="F72"/>
    </x:row>
    <x:row r="73">
      <x:c r="A73"/>
      <x:c r="B73"/>
      <x:c r="C73"/>
      <x:c r="D73"/>
      <x:c r="E73"/>
      <x:c r="F73"/>
    </x:row>
    <x:row r="74">
      <x:c r="A74"/>
      <x:c r="B74"/>
      <x:c r="C74"/>
      <x:c r="D74"/>
      <x:c r="E74"/>
      <x:c r="F74"/>
    </x:row>
    <x:row r="75">
      <x:c r="A75"/>
      <x:c r="B75"/>
      <x:c r="C75"/>
      <x:c r="D75"/>
      <x:c r="E75"/>
      <x:c r="F75"/>
    </x:row>
    <x:row r="76">
      <x:c r="A76"/>
      <x:c r="B76"/>
      <x:c r="C76"/>
      <x:c r="D76"/>
      <x:c r="E76"/>
      <x:c r="F76"/>
    </x:row>
    <x:row r="77">
      <x:c r="A77"/>
      <x:c r="B77"/>
      <x:c r="C77"/>
      <x:c r="D77"/>
      <x:c r="E77"/>
      <x:c r="F77"/>
    </x:row>
    <x:row r="78">
      <x:c r="A78"/>
      <x:c r="B78"/>
      <x:c r="C78"/>
      <x:c r="D78"/>
      <x:c r="E78"/>
      <x:c r="F78"/>
    </x:row>
    <x:row r="79">
      <x:c r="A79"/>
      <x:c r="B79"/>
      <x:c r="C79"/>
      <x:c r="D79"/>
      <x:c r="E79"/>
      <x:c r="F79"/>
    </x:row>
    <x:row r="80">
      <x:c r="A80"/>
      <x:c r="B80"/>
      <x:c r="C80"/>
      <x:c r="D80"/>
      <x:c r="E80"/>
      <x:c r="F80"/>
    </x:row>
    <x:row r="81">
      <x:c r="A81"/>
      <x:c r="B81"/>
      <x:c r="C81"/>
      <x:c r="D81"/>
      <x:c r="E81"/>
      <x:c r="F81"/>
    </x:row>
    <x:row r="82">
      <x:c r="A82"/>
      <x:c r="B82"/>
      <x:c r="C82"/>
      <x:c r="D82"/>
      <x:c r="E82"/>
      <x:c r="F82"/>
    </x:row>
    <x:row r="83">
      <x:c r="A83"/>
      <x:c r="B83"/>
      <x:c r="C83"/>
      <x:c r="D83"/>
      <x:c r="E83"/>
      <x:c r="F83"/>
    </x:row>
    <x:row r="84">
      <x:c r="A84"/>
      <x:c r="B84"/>
      <x:c r="C84"/>
      <x:c r="D84"/>
      <x:c r="E84"/>
      <x:c r="F84"/>
    </x:row>
    <x:row r="85">
      <x:c r="A85"/>
      <x:c r="B85"/>
      <x:c r="C85"/>
      <x:c r="D85"/>
      <x:c r="E85"/>
      <x:c r="F85"/>
    </x:row>
    <x:row r="86">
      <x:c r="A86"/>
      <x:c r="B86"/>
      <x:c r="C86"/>
      <x:c r="D86"/>
      <x:c r="E86"/>
      <x:c r="F86"/>
    </x:row>
    <x:row r="87">
      <x:c r="A87"/>
      <x:c r="B87"/>
      <x:c r="C87"/>
      <x:c r="D87"/>
      <x:c r="E87"/>
      <x:c r="F87"/>
    </x:row>
    <x:row r="88">
      <x:c r="A88"/>
      <x:c r="B88"/>
      <x:c r="C88"/>
      <x:c r="D88"/>
      <x:c r="E88"/>
      <x:c r="F88"/>
    </x:row>
    <x:row r="89">
      <x:c r="A89"/>
      <x:c r="B89"/>
      <x:c r="C89"/>
      <x:c r="D89"/>
      <x:c r="E89"/>
      <x:c r="F89"/>
    </x:row>
    <x:row r="90">
      <x:c r="A90"/>
      <x:c r="B90"/>
      <x:c r="C90"/>
      <x:c r="D90"/>
      <x:c r="E90"/>
      <x:c r="F90"/>
    </x:row>
    <x:row r="91">
      <x:c r="A91"/>
      <x:c r="B91"/>
      <x:c r="C91"/>
      <x:c r="D91"/>
      <x:c r="E91"/>
      <x:c r="F91"/>
    </x:row>
    <x:row r="92">
      <x:c r="A92"/>
      <x:c r="B92"/>
      <x:c r="C92"/>
      <x:c r="D92"/>
      <x:c r="E92"/>
      <x:c r="F92"/>
    </x:row>
    <x:row r="93">
      <x:c r="A93"/>
      <x:c r="B93"/>
      <x:c r="C93"/>
      <x:c r="D93"/>
      <x:c r="E93"/>
      <x:c r="F93"/>
    </x:row>
    <x:row r="94">
      <x:c r="A94"/>
      <x:c r="B94"/>
      <x:c r="C94"/>
      <x:c r="D94"/>
      <x:c r="E94"/>
      <x:c r="F94"/>
    </x:row>
    <x:row r="95">
      <x:c r="A95"/>
      <x:c r="B95"/>
      <x:c r="C95"/>
      <x:c r="D95"/>
      <x:c r="E95"/>
      <x:c r="F95"/>
    </x:row>
    <x:row r="96">
      <x:c r="A96"/>
      <x:c r="B96"/>
      <x:c r="C96"/>
      <x:c r="D96"/>
      <x:c r="E96"/>
      <x:c r="F96"/>
    </x:row>
    <x:row r="97">
      <x:c r="A97"/>
      <x:c r="B97"/>
      <x:c r="C97"/>
      <x:c r="D97"/>
      <x:c r="E97"/>
      <x:c r="F97"/>
    </x:row>
    <x:row r="98">
      <x:c r="A98"/>
      <x:c r="B98"/>
      <x:c r="C98"/>
      <x:c r="D98"/>
      <x:c r="E98"/>
      <x:c r="F98"/>
    </x:row>
    <x:row r="99">
      <x:c r="A99"/>
      <x:c r="B99"/>
      <x:c r="C99"/>
      <x:c r="D99"/>
      <x:c r="E99"/>
      <x:c r="F99"/>
    </x:row>
    <x:row r="100">
      <x:c r="A100"/>
      <x:c r="B100"/>
      <x:c r="C100"/>
      <x:c r="D100"/>
      <x:c r="E100"/>
      <x:c r="F100"/>
    </x:row>
    <x:row r="101">
      <x:c r="A101"/>
      <x:c r="B101"/>
      <x:c r="C101"/>
      <x:c r="D101"/>
      <x:c r="E101"/>
      <x:c r="F101"/>
    </x:row>
    <x:row r="102">
      <x:c r="A102"/>
      <x:c r="B102"/>
      <x:c r="C102"/>
      <x:c r="D102"/>
      <x:c r="E102"/>
      <x:c r="F102"/>
    </x:row>
    <x:row r="103">
      <x:c r="A103"/>
      <x:c r="B103"/>
      <x:c r="C103"/>
      <x:c r="D103"/>
      <x:c r="E103"/>
      <x:c r="F103"/>
    </x:row>
    <x:row r="104">
      <x:c r="A104"/>
      <x:c r="B104"/>
      <x:c r="C104"/>
      <x:c r="D104"/>
      <x:c r="E104"/>
      <x:c r="F104"/>
    </x:row>
    <x:row r="105">
      <x:c r="A105"/>
      <x:c r="B105"/>
      <x:c r="C105"/>
      <x:c r="D105"/>
      <x:c r="E105"/>
      <x:c r="F105"/>
    </x:row>
  </x:sheetData>
  <x:mergeCells>
    <x:mergeCell ref="A1:F1"/>
    <x:mergeCell ref="A2:F2"/>
  </x:mergeCells>
  <x:dataValidations count="2">
    <x:dataValidation type="list" allowBlank="0" showDropDown="0" sqref="E5:E54">
      <x:formula1>"Sim,Não"</x:formula1>
    </x:dataValidation>
    <x:dataValidation type="whole" operator="greaterThanOrEqual" sqref="F5:F54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c7b08fa8254c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hidden="0" customWidth="1"/>
    <x:col min="2" max="2" width="25" hidden="0" customWidth="1"/>
    <x:col min="3" max="3" width="14" hidden="0" customWidth="1"/>
    <x:col min="4" max="4" width="14" hidden="0" customWidth="1"/>
    <x:col min="5" max="5" width="16" hidden="0" customWidth="1"/>
    <x:col min="6" max="6" width="34" hidden="0" customWidth="1"/>
    <x:col min="7" max="7" width="15" hidden="0" customWidth="1"/>
    <x:col min="8" max="8" width="15" hidden="0" customWidth="1"/>
    <x:col min="9" max="9" width="22" hidden="0" customWidth="1"/>
    <x:col min="10" max="10" width="14" hidden="0" customWidth="1"/>
    <x:col min="11" max="11" width="35" hidden="0" customWidth="1"/>
  </x:cols>
  <x:sheetData>
    <x:row r="1" ht="26" customHeight="1">
      <x:c r="A1" s="9" t="str">
        <x:v>06 — DICIONÁRIO DE DADOS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24" customHeight="1">
      <x:c r="A2" s="12" t="str">
        <x:v>Contrato funcional do template e da tela de registro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6" customHeight="1">
      <x:c r="A4" s="15" t="str">
        <x:v>Entidade/Aba</x:v>
      </x:c>
      <x:c r="B4" s="15" t="str">
        <x:v>Campo</x:v>
      </x:c>
      <x:c r="C4" s="15" t="str">
        <x:v>Escopo</x:v>
      </x:c>
      <x:c r="D4" s="15" t="str">
        <x:v>Tipo</x:v>
      </x:c>
      <x:c r="E4" s="15" t="str">
        <x:v>Obrigatoriedade</x:v>
      </x:c>
      <x:c r="F4" s="15" t="str">
        <x:v>Valores/Regra</x:v>
      </x:c>
      <x:c r="G4" s="15" t="str">
        <x:v>Editável em tela?</x:v>
      </x:c>
      <x:c r="H4" s="15" t="str">
        <x:v>Parametrizável?</x:v>
      </x:c>
      <x:c r="I4" s="15" t="str">
        <x:v>Saída/uso</x:v>
      </x:c>
      <x:c r="J4" s="15" t="str">
        <x:v>Erro bloqueia?</x:v>
      </x:c>
      <x:c r="K4" s="15" t="str">
        <x:v>Observação</x:v>
      </x:c>
    </x:row>
    <x:row r="5">
      <x:c r="A5" s="15" t="str">
        <x:v>Cliente</x:v>
      </x:c>
      <x:c r="B5" s="15" t="str">
        <x:v>Ciclo</x:v>
      </x:c>
      <x:c r="C5" s="15" t="str">
        <x:v>Comum</x:v>
      </x:c>
      <x:c r="D5" s="15" t="str">
        <x:v>AAAA-MM</x:v>
      </x:c>
      <x:c r="E5" s="15" t="str">
        <x:v>Obrigatório</x:v>
      </x:c>
      <x:c r="F5" s="15" t="str">
        <x:v>Ciclo mensal existente</x:v>
      </x:c>
      <x:c r="G5" s="15" t="str">
        <x:v>Não</x:v>
      </x:c>
      <x:c r="H5" s="15" t="str">
        <x:v>Não</x:v>
      </x:c>
      <x:c r="I5" s="15" t="str">
        <x:v>Filtro e retrato</x:v>
      </x:c>
      <x:c r="J5" s="15" t="str">
        <x:v>Sim</x:v>
      </x:c>
      <x:c r="K5" s="15" t="str">
        <x:v>Copiado na abertura do ciclo</x:v>
      </x:c>
    </x:row>
    <x:row r="6">
      <x:c r="A6" s="15" t="str">
        <x:v>Cliente</x:v>
      </x:c>
      <x:c r="B6" s="15" t="str">
        <x:v>Tipo pessoa</x:v>
      </x:c>
      <x:c r="C6" s="15" t="str">
        <x:v>Comum</x:v>
      </x:c>
      <x:c r="D6" s="15" t="str">
        <x:v>Lista</x:v>
      </x:c>
      <x:c r="E6" s="15" t="str">
        <x:v>Obrigatório</x:v>
      </x:c>
      <x:c r="F6" s="15" t="str">
        <x:v>PJ; PF/Doméstica</x:v>
      </x:c>
      <x:c r="G6" s="15" t="str">
        <x:v>Sim</x:v>
      </x:c>
      <x:c r="H6" s="15" t="str">
        <x:v>Não</x:v>
      </x:c>
      <x:c r="I6" s="15" t="str">
        <x:v>Validação da unidade</x:v>
      </x:c>
      <x:c r="J6" s="15" t="str">
        <x:v>Sim</x:v>
      </x:c>
      <x:c r="K6" s="15" t="str">
        <x:v>Lista fixa do MVP</x:v>
      </x:c>
    </x:row>
    <x:row r="7">
      <x:c r="A7" s="15" t="str">
        <x:v>Cliente</x:v>
      </x:c>
      <x:c r="B7" s="15" t="str">
        <x:v>CNPJ/CPF</x:v>
      </x:c>
      <x:c r="C7" s="15" t="str">
        <x:v>Comum</x:v>
      </x:c>
      <x:c r="D7" s="15" t="str">
        <x:v>Texto</x:v>
      </x:c>
      <x:c r="E7" s="15" t="str">
        <x:v>Obrigatório</x:v>
      </x:c>
      <x:c r="F7" s="15" t="str">
        <x:v>Único no ciclo; validar dígitos</x:v>
      </x:c>
      <x:c r="G7" s="15" t="str">
        <x:v>Sim</x:v>
      </x:c>
      <x:c r="H7" s="15" t="str">
        <x:v>Não</x:v>
      </x:c>
      <x:c r="I7" s="15" t="str">
        <x:v>Chave da unidade</x:v>
      </x:c>
      <x:c r="J7" s="15" t="str">
        <x:v>Sim</x:v>
      </x:c>
      <x:c r="K7" s="15" t="str">
        <x:v>Cada CNPJ é unidade; PF/doméstica por CPF</x:v>
      </x:c>
    </x:row>
    <x:row r="8" ht="27.600000381469727">
      <x:c r="A8" s="15" t="str">
        <x:v>Cliente</x:v>
      </x:c>
      <x:c r="B8" s="15" t="str">
        <x:v>Razão social/Nome</x:v>
      </x:c>
      <x:c r="C8" s="15" t="str">
        <x:v>Comum</x:v>
      </x:c>
      <x:c r="D8" s="15" t="str">
        <x:v>Texto</x:v>
      </x:c>
      <x:c r="E8" s="15" t="str">
        <x:v>Obrigatório</x:v>
      </x:c>
      <x:c r="F8" s="15" t="str">
        <x:v>Texto não vazio</x:v>
      </x:c>
      <x:c r="G8" s="15" t="str">
        <x:v>Sim</x:v>
      </x:c>
      <x:c r="H8" s="15" t="str">
        <x:v>Não</x:v>
      </x:c>
      <x:c r="I8" s="15" t="str">
        <x:v>Identificação</x:v>
      </x:c>
      <x:c r="J8" s="15" t="str">
        <x:v>Sim</x:v>
      </x:c>
      <x:c r="K8" s="15" t="str">
        <x:v>Nome legal da unidade</x:v>
      </x:c>
    </x:row>
    <x:row r="9">
      <x:c r="A9" s="15" t="str">
        <x:v>Cliente</x:v>
      </x:c>
      <x:c r="B9" s="15" t="str">
        <x:v>Nome fantasia</x:v>
      </x:c>
      <x:c r="C9" s="15" t="str">
        <x:v>Comum</x:v>
      </x:c>
      <x:c r="D9" s="15" t="str">
        <x:v>Texto</x:v>
      </x:c>
      <x:c r="E9" s="15" t="str">
        <x:v>Opcional</x:v>
      </x:c>
      <x:c r="F9" s="15" t="str">
        <x:v>Texto livre</x:v>
      </x:c>
      <x:c r="G9" s="15" t="str">
        <x:v>Sim</x:v>
      </x:c>
      <x:c r="H9" s="15" t="str">
        <x:v>Não</x:v>
      </x:c>
      <x:c r="I9" s="15" t="str">
        <x:v>Exibição</x:v>
      </x:c>
      <x:c r="J9" s="15" t="str">
        <x:v>Não</x:v>
      </x:c>
      <x:c r="K9" s="15" t="str">
        <x:v>Nome de uso</x:v>
      </x:c>
    </x:row>
    <x:row r="10">
      <x:c r="A10" s="15" t="str">
        <x:v>Cliente</x:v>
      </x:c>
      <x:c r="B10" s="15" t="str">
        <x:v>Status contrato</x:v>
      </x:c>
      <x:c r="C10" s="15" t="str">
        <x:v>Comum/ciclo</x:v>
      </x:c>
      <x:c r="D10" s="15" t="str">
        <x:v>Lista</x:v>
      </x:c>
      <x:c r="E10" s="15" t="str">
        <x:v>Obrigatório</x:v>
      </x:c>
      <x:c r="F10" s="15" t="str">
        <x:v>Ativo; Sem movimento; Inativo; Encerrado</x:v>
      </x:c>
      <x:c r="G10" s="15" t="str">
        <x:v>Sim</x:v>
      </x:c>
      <x:c r="H10" s="15" t="str">
        <x:v>Não</x:v>
      </x:c>
      <x:c r="I10" s="15" t="str">
        <x:v>Status e filtros</x:v>
      </x:c>
      <x:c r="J10" s="15" t="str">
        <x:v>Sim</x:v>
      </x:c>
      <x:c r="K10" s="15" t="str">
        <x:v>Lista fixa do MVP</x:v>
      </x:c>
    </x:row>
    <x:row r="11">
      <x:c r="A11" s="15" t="str">
        <x:v>Cliente</x:v>
      </x:c>
      <x:c r="B11" s="15" t="str">
        <x:v>Honorário faturado</x:v>
      </x:c>
      <x:c r="C11" s="15" t="str">
        <x:v>Comum/ciclo</x:v>
      </x:c>
      <x:c r="D11" s="15" t="str">
        <x:v>Moeda</x:v>
      </x:c>
      <x:c r="E11" s="15" t="str">
        <x:v>Obrigatório</x:v>
      </x:c>
      <x:c r="F11" s="15" t="str">
        <x:v>&gt;= 0</x:v>
      </x:c>
      <x:c r="G11" s="15" t="str">
        <x:v>Sim</x:v>
      </x:c>
      <x:c r="H11" s="15" t="str">
        <x:v>Não</x:v>
      </x:c>
      <x:c r="I11" s="15" t="str">
        <x:v>Receita e ticket</x:v>
      </x:c>
      <x:c r="J11" s="15" t="str">
        <x:v>Sim</x:v>
      </x:c>
      <x:c r="K11" s="15" t="str">
        <x:v>Não somar por área</x:v>
      </x:c>
    </x:row>
    <x:row r="12">
      <x:c r="A12" s="15" t="str">
        <x:v>Cliente</x:v>
      </x:c>
      <x:c r="B12" s="15" t="str">
        <x:v>Faixa faturamento anual</x:v>
      </x:c>
      <x:c r="C12" s="15" t="str">
        <x:v>Comum/ciclo</x:v>
      </x:c>
      <x:c r="D12" s="15" t="str">
        <x:v>Lista</x:v>
      </x:c>
      <x:c r="E12" s="15" t="str">
        <x:v>Obrigatório</x:v>
      </x:c>
      <x:c r="F12" s="15" t="str">
        <x:v>Grupo Faixa de faturamento anual da aba 05</x:v>
      </x:c>
      <x:c r="G12" s="15" t="str">
        <x:v>Sim</x:v>
      </x:c>
      <x:c r="H12" s="15" t="str">
        <x:v>Sim, com mapeamento</x:v>
      </x:c>
      <x:c r="I12" s="15" t="str">
        <x:v>Segmentação</x:v>
      </x:c>
      <x:c r="J12" s="15" t="str">
        <x:v>Sim</x:v>
      </x:c>
      <x:c r="K12" s="15" t="str">
        <x:v>Receita anual do cliente</x:v>
      </x:c>
    </x:row>
    <x:row r="13">
      <x:c r="A13" s="15" t="str">
        <x:v>Cliente</x:v>
      </x:c>
      <x:c r="B13" s="15" t="str">
        <x:v>Classificação</x:v>
      </x:c>
      <x:c r="C13" s="15" t="str">
        <x:v>Comum/ciclo</x:v>
      </x:c>
      <x:c r="D13" s="15" t="str">
        <x:v>Lista</x:v>
      </x:c>
      <x:c r="E13" s="15" t="str">
        <x:v>Obrigatório</x:v>
      </x:c>
      <x:c r="F13" s="15" t="str">
        <x:v>A, B, C, D</x:v>
      </x:c>
      <x:c r="G13" s="15" t="str">
        <x:v>Sim</x:v>
      </x:c>
      <x:c r="H13" s="15" t="str">
        <x:v>Não</x:v>
      </x:c>
      <x:c r="I13" s="15" t="str">
        <x:v>Prioridade comercial</x:v>
      </x:c>
      <x:c r="J13" s="15" t="str">
        <x:v>Sim</x:v>
      </x:c>
      <x:c r="K13" s="15" t="str">
        <x:v>A maior; D menor</x:v>
      </x:c>
    </x:row>
    <x:row r="14">
      <x:c r="A14" s="15" t="str">
        <x:v>Cliente</x:v>
      </x:c>
      <x:c r="B14" s="15" t="str">
        <x:v>Frentes de trabalho</x:v>
      </x:c>
      <x:c r="C14" s="15" t="str">
        <x:v>Comum/ciclo</x:v>
      </x:c>
      <x:c r="D14" s="15" t="str">
        <x:v>Booleanos</x:v>
      </x:c>
      <x:c r="E14" s="15" t="str">
        <x:v>Obrigatório</x:v>
      </x:c>
      <x:c r="F14" s="15" t="str">
        <x:v>Fiscal/Contábil/Pessoal</x:v>
      </x:c>
      <x:c r="G14" s="15" t="str">
        <x:v>Sim</x:v>
      </x:c>
      <x:c r="H14" s="15" t="str">
        <x:v>Não</x:v>
      </x:c>
      <x:c r="I14" s="15" t="str">
        <x:v>Obrigatoriedade por área</x:v>
      </x:c>
      <x:c r="J14" s="15" t="str">
        <x:v>Sim</x:v>
      </x:c>
      <x:c r="K14" s="15" t="str">
        <x:v>Seleção manual no MVP</x:v>
      </x:c>
    </x:row>
    <x:row r="15">
      <x:c r="A15" s="15" t="str">
        <x:v>Cliente</x:v>
      </x:c>
      <x:c r="B15" s="15" t="str">
        <x:v>Data entrada</x:v>
      </x:c>
      <x:c r="C15" s="15" t="str">
        <x:v>Comum</x:v>
      </x:c>
      <x:c r="D15" s="15" t="str">
        <x:v>Data</x:v>
      </x:c>
      <x:c r="E15" s="15" t="str">
        <x:v>Opcional</x:v>
      </x:c>
      <x:c r="F15" s="15" t="str">
        <x:v>Data válida</x:v>
      </x:c>
      <x:c r="G15" s="15" t="str">
        <x:v>Sim</x:v>
      </x:c>
      <x:c r="H15" s="15" t="str">
        <x:v>Não</x:v>
      </x:c>
      <x:c r="I15" s="15" t="str">
        <x:v>Histórico</x:v>
      </x:c>
      <x:c r="J15" s="15" t="str">
        <x:v>Não</x:v>
      </x:c>
      <x:c r="K15" s="15" t="str">
        <x:v>Não pode ser posterior à Data saída</x:v>
      </x:c>
    </x:row>
    <x:row r="16">
      <x:c r="A16" s="15" t="str">
        <x:v>Cliente</x:v>
      </x:c>
      <x:c r="B16" s="15" t="str">
        <x:v>Data saída</x:v>
      </x:c>
      <x:c r="C16" s="15" t="str">
        <x:v>Comum</x:v>
      </x:c>
      <x:c r="D16" s="15" t="str">
        <x:v>Data</x:v>
      </x:c>
      <x:c r="E16" s="15" t="str">
        <x:v>Opcional</x:v>
      </x:c>
      <x:c r="F16" s="15" t="str">
        <x:v>Data válida</x:v>
      </x:c>
      <x:c r="G16" s="15" t="str">
        <x:v>Sim</x:v>
      </x:c>
      <x:c r="H16" s="15" t="str">
        <x:v>Não</x:v>
      </x:c>
      <x:c r="I16" s="15" t="str">
        <x:v>Histórico</x:v>
      </x:c>
      <x:c r="J16" s="15" t="str">
        <x:v>Não</x:v>
      </x:c>
      <x:c r="K16" s="15" t="str">
        <x:v>Obrigatória quando o contrato for encerrado</x:v>
      </x:c>
    </x:row>
    <x:row r="17">
      <x:c r="A17" s="15" t="str">
        <x:v>Cliente</x:v>
      </x:c>
      <x:c r="B17" s="15" t="str">
        <x:v>Observações</x:v>
      </x:c>
      <x:c r="C17" s="15" t="str">
        <x:v>Comum/ciclo</x:v>
      </x:c>
      <x:c r="D17" s="15" t="str">
        <x:v>Texto</x:v>
      </x:c>
      <x:c r="E17" s="15" t="str">
        <x:v>Opcional</x:v>
      </x:c>
      <x:c r="F17" s="15" t="str">
        <x:v>Texto livre</x:v>
      </x:c>
      <x:c r="G17" s="15" t="str">
        <x:v>Sim</x:v>
      </x:c>
      <x:c r="H17" s="15" t="str">
        <x:v>Não</x:v>
      </x:c>
      <x:c r="I17" s="15" t="str">
        <x:v>Contexto</x:v>
      </x:c>
      <x:c r="J17" s="15" t="str">
        <x:v>Não</x:v>
      </x:c>
      <x:c r="K17" s="15" t="str">
        <x:v>Não utilizar como campo estruturado</x:v>
      </x:c>
    </x:row>
    <x:row r="18">
      <x:c r="A18" s="15" t="str">
        <x:v>Área</x:v>
      </x:c>
      <x:c r="B18" s="15" t="str">
        <x:v>Ciclo</x:v>
      </x:c>
      <x:c r="C18" s="15" t="str">
        <x:v>Área/ciclo</x:v>
      </x:c>
      <x:c r="D18" s="15" t="str">
        <x:v>AAAA-MM</x:v>
      </x:c>
      <x:c r="E18" s="15" t="str">
        <x:v>Obrigatório</x:v>
      </x:c>
      <x:c r="F18" s="15" t="str">
        <x:v>Mesmo ciclo da unidade</x:v>
      </x:c>
      <x:c r="G18" s="15" t="str">
        <x:v>Não</x:v>
      </x:c>
      <x:c r="H18" s="15" t="str">
        <x:v>Não</x:v>
      </x:c>
      <x:c r="I18" s="15" t="str">
        <x:v>Filtro e retrato</x:v>
      </x:c>
      <x:c r="J18" s="15" t="str">
        <x:v>Sim</x:v>
      </x:c>
      <x:c r="K18" s="15" t="str">
        <x:v>Copiado do cadastro do cliente</x:v>
      </x:c>
    </x:row>
    <x:row r="19">
      <x:c r="A19" s="15" t="str">
        <x:v>Área</x:v>
      </x:c>
      <x:c r="B19" s="15" t="str">
        <x:v>CNPJ/CPF</x:v>
      </x:c>
      <x:c r="C19" s="15" t="str">
        <x:v>Área/ciclo</x:v>
      </x:c>
      <x:c r="D19" s="15" t="str">
        <x:v>Referência</x:v>
      </x:c>
      <x:c r="E19" s="15" t="str">
        <x:v>Obrigatório</x:v>
      </x:c>
      <x:c r="F19" s="15" t="str">
        <x:v>Unidade existente no ciclo</x:v>
      </x:c>
      <x:c r="G19" s="15" t="str">
        <x:v>Não</x:v>
      </x:c>
      <x:c r="H19" s="15" t="str">
        <x:v>Não</x:v>
      </x:c>
      <x:c r="I19" s="15" t="str">
        <x:v>Relacionamento</x:v>
      </x:c>
      <x:c r="J19" s="15" t="str">
        <x:v>Sim</x:v>
      </x:c>
      <x:c r="K19" s="15" t="str">
        <x:v>Chave da unidade</x:v>
      </x:c>
    </x:row>
    <x:row r="20">
      <x:c r="A20" s="15" t="str">
        <x:v>Área</x:v>
      </x:c>
      <x:c r="B20" s="15" t="str">
        <x:v>Status da frente</x:v>
      </x:c>
      <x:c r="C20" s="15" t="str">
        <x:v>Área/ciclo</x:v>
      </x:c>
      <x:c r="D20" s="15" t="str">
        <x:v>Lista</x:v>
      </x:c>
      <x:c r="E20" s="15" t="str">
        <x:v>Obrigatório</x:v>
      </x:c>
      <x:c r="F20" s="15" t="str">
        <x:v>Ativo; Sem movimento; Inativo; Encerrado</x:v>
      </x:c>
      <x:c r="G20" s="15" t="str">
        <x:v>Sim</x:v>
      </x:c>
      <x:c r="H20" s="15" t="str">
        <x:v>Não</x:v>
      </x:c>
      <x:c r="I20" s="15" t="str">
        <x:v>Status e C0</x:v>
      </x:c>
      <x:c r="J20" s="15" t="str">
        <x:v>Sim</x:v>
      </x:c>
      <x:c r="K20" s="15" t="str">
        <x:v>Lista fixa do MVP</x:v>
      </x:c>
    </x:row>
    <x:row r="21">
      <x:c r="A21" s="15" t="str">
        <x:v>Área</x:v>
      </x:c>
      <x:c r="B21" s="15" t="str">
        <x:v>Responsável principal</x:v>
      </x:c>
      <x:c r="C21" s="15" t="str">
        <x:v>Área/ciclo</x:v>
      </x:c>
      <x:c r="D21" s="15" t="str">
        <x:v>Referência</x:v>
      </x:c>
      <x:c r="E21" s="15" t="str">
        <x:v>Condicional</x:v>
      </x:c>
      <x:c r="F21" s="15" t="str">
        <x:v>Colaborador ativo</x:v>
      </x:c>
      <x:c r="G21" s="15" t="str">
        <x:v>Sim</x:v>
      </x:c>
      <x:c r="H21" s="15" t="str">
        <x:v>Não</x:v>
      </x:c>
      <x:c r="I21" s="15" t="str">
        <x:v>CCR e carga</x:v>
      </x:c>
      <x:c r="J21" s="15" t="str">
        <x:v>Sim</x:v>
      </x:c>
      <x:c r="K21" s="15" t="str">
        <x:v>Único que compõe CCR</x:v>
      </x:c>
    </x:row>
    <x:row r="22">
      <x:c r="A22" s="15" t="str">
        <x:v>Área</x:v>
      </x:c>
      <x:c r="B22" s="15" t="str">
        <x:v>Responsável secundário</x:v>
      </x:c>
      <x:c r="C22" s="15" t="str">
        <x:v>Área/ciclo</x:v>
      </x:c>
      <x:c r="D22" s="15" t="str">
        <x:v>Referência</x:v>
      </x:c>
      <x:c r="E22" s="15" t="str">
        <x:v>Opcional</x:v>
      </x:c>
      <x:c r="F22" s="15" t="str">
        <x:v>Colaborador ativo</x:v>
      </x:c>
      <x:c r="G22" s="15" t="str">
        <x:v>Sim</x:v>
      </x:c>
      <x:c r="H22" s="15" t="str">
        <x:v>Não</x:v>
      </x:c>
      <x:c r="I22" s="15" t="str">
        <x:v>Consulta</x:v>
      </x:c>
      <x:c r="J22" s="15" t="str">
        <x:v>Não</x:v>
      </x:c>
      <x:c r="K22" s="15" t="str">
        <x:v>Não compõe CCR</x:v>
      </x:c>
    </x:row>
    <x:row r="23">
      <x:c r="A23" s="15" t="str">
        <x:v>Área</x:v>
      </x:c>
      <x:c r="B23" s="15" t="str">
        <x:v>Observações</x:v>
      </x:c>
      <x:c r="C23" s="15" t="str">
        <x:v>Área/ciclo</x:v>
      </x:c>
      <x:c r="D23" s="15" t="str">
        <x:v>Texto</x:v>
      </x:c>
      <x:c r="E23" s="15" t="str">
        <x:v>Opcional</x:v>
      </x:c>
      <x:c r="F23" s="15" t="str">
        <x:v>Texto livre</x:v>
      </x:c>
      <x:c r="G23" s="15" t="str">
        <x:v>Sim</x:v>
      </x:c>
      <x:c r="H23" s="15" t="str">
        <x:v>Não</x:v>
      </x:c>
      <x:c r="I23" s="15" t="str">
        <x:v>Contexto</x:v>
      </x:c>
      <x:c r="J23" s="15" t="str">
        <x:v>Não</x:v>
      </x:c>
      <x:c r="K23" s="15" t="str">
        <x:v>Não utilizar como campo estruturado</x:v>
      </x:c>
    </x:row>
    <x:row r="24">
      <x:c r="A24" s="15" t="str">
        <x:v>Fiscal</x:v>
      </x:c>
      <x:c r="B24" s="15" t="str">
        <x:v>Regime tributário</x:v>
      </x:c>
      <x:c r="C24" s="15" t="str">
        <x:v>Área/ciclo</x:v>
      </x:c>
      <x:c r="D24" s="15" t="str">
        <x:v>Lista</x:v>
      </x:c>
      <x:c r="E24" s="15" t="str">
        <x:v>Condicional</x:v>
      </x:c>
      <x:c r="F24" s="15" t="str">
        <x:v>MEI; Simples Nacional; Lucro Presumido; Lucro Real; Lucro Arbitrado; Imune; Isenta</x:v>
      </x:c>
      <x:c r="G24" s="15" t="str">
        <x:v>Sim</x:v>
      </x:c>
      <x:c r="H24" s="15" t="str">
        <x:v>Não</x:v>
      </x:c>
      <x:c r="I24" s="15" t="str">
        <x:v>Segmentação</x:v>
      </x:c>
      <x:c r="J24" s="15" t="str">
        <x:v>Sim</x:v>
      </x:c>
      <x:c r="K24" s="15" t="str">
        <x:v>Lista fixa do MVP</x:v>
      </x:c>
    </x:row>
    <x:row r="25">
      <x:c r="A25" s="15" t="str">
        <x:v>Fiscal</x:v>
      </x:c>
      <x:c r="B25" s="15" t="str">
        <x:v>Forma recebimento documentos</x:v>
      </x:c>
      <x:c r="C25" s="15" t="str">
        <x:v>Área/ciclo</x:v>
      </x:c>
      <x:c r="D25" s="15" t="str">
        <x:v>Lista</x:v>
      </x:c>
      <x:c r="E25" s="15" t="str">
        <x:v>Condicional</x:v>
      </x:c>
      <x:c r="F25" s="15" t="str">
        <x:v>Grupo Recebimento de documentos da aba 05</x:v>
      </x:c>
      <x:c r="G25" s="15" t="str">
        <x:v>Sim</x:v>
      </x:c>
      <x:c r="H25" s="15" t="str">
        <x:v>Sim, com mapeamento</x:v>
      </x:c>
      <x:c r="I25" s="15" t="str">
        <x:v>Canais e oportunidades</x:v>
      </x:c>
      <x:c r="J25" s="15" t="str">
        <x:v>Sim</x:v>
      </x:c>
      <x:c r="K25" s="15" t="str">
        <x:v>Categoria canônica obrigatória</x:v>
      </x:c>
    </x:row>
    <x:row r="26">
      <x:c r="A26" s="15" t="str">
        <x:v>Fiscal</x:v>
      </x:c>
      <x:c r="B26" s="15" t="str">
        <x:v>Forma envio documentos</x:v>
      </x:c>
      <x:c r="C26" s="15" t="str">
        <x:v>Área/ciclo</x:v>
      </x:c>
      <x:c r="D26" s="15" t="str">
        <x:v>Lista</x:v>
      </x:c>
      <x:c r="E26" s="15" t="str">
        <x:v>Condicional</x:v>
      </x:c>
      <x:c r="F26" s="15" t="str">
        <x:v>Grupo Envio de documentos da aba 05</x:v>
      </x:c>
      <x:c r="G26" s="15" t="str">
        <x:v>Sim</x:v>
      </x:c>
      <x:c r="H26" s="15" t="str">
        <x:v>Sim, com mapeamento</x:v>
      </x:c>
      <x:c r="I26" s="15" t="str">
        <x:v>Canais e oportunidades</x:v>
      </x:c>
      <x:c r="J26" s="15" t="str">
        <x:v>Sim</x:v>
      </x:c>
      <x:c r="K26" s="15" t="str">
        <x:v>Categoria canônica obrigatória</x:v>
      </x:c>
    </x:row>
    <x:row r="27">
      <x:c r="A27" s="15" t="str">
        <x:v>Fiscal</x:v>
      </x:c>
      <x:c r="B27" s="15" t="str">
        <x:v>Forma integração</x:v>
      </x:c>
      <x:c r="C27" s="15" t="str">
        <x:v>Área/ciclo</x:v>
      </x:c>
      <x:c r="D27" s="15" t="str">
        <x:v>Lista</x:v>
      </x:c>
      <x:c r="E27" s="15" t="str">
        <x:v>Condicional</x:v>
      </x:c>
      <x:c r="F27" s="15" t="str">
        <x:v>Grupo Integração da aba 05</x:v>
      </x:c>
      <x:c r="G27" s="15" t="str">
        <x:v>Sim</x:v>
      </x:c>
      <x:c r="H27" s="15" t="str">
        <x:v>Sim, com mapeamento</x:v>
      </x:c>
      <x:c r="I27" s="15" t="str">
        <x:v>Automação</x:v>
      </x:c>
      <x:c r="J27" s="15" t="str">
        <x:v>Sim</x:v>
      </x:c>
      <x:c r="K27" s="15" t="str">
        <x:v>Categoria canônica obrigatória</x:v>
      </x:c>
    </x:row>
    <x:row r="28">
      <x:c r="A28" s="15" t="str">
        <x:v>Fiscal</x:v>
      </x:c>
      <x:c r="B28" s="15" t="str">
        <x:v>Nota Volume</x:v>
      </x:c>
      <x:c r="C28" s="15" t="str">
        <x:v>Área/ciclo</x:v>
      </x:c>
      <x:c r="D28" s="15" t="str">
        <x:v>Inteiro</x:v>
      </x:c>
      <x:c r="E28" s="15" t="str">
        <x:v>Condicional</x:v>
      </x:c>
      <x:c r="F28" s="15" t="str">
        <x:v>1, 2 ou 3</x:v>
      </x:c>
      <x:c r="G28" s="15" t="str">
        <x:v>Sim</x:v>
      </x:c>
      <x:c r="H28" s="15" t="str">
        <x:v>Não</x:v>
      </x:c>
      <x:c r="I28" s="15" t="str">
        <x:v>Complexidade</x:v>
      </x:c>
      <x:c r="J28" s="15" t="str">
        <x:v>Sim</x:v>
      </x:c>
      <x:c r="K28" s="15" t="str">
        <x:v>Peso igual</x:v>
      </x:c>
    </x:row>
    <x:row r="29">
      <x:c r="A29" s="15" t="str">
        <x:v>Fiscal</x:v>
      </x:c>
      <x:c r="B29" s="15" t="str">
        <x:v>Nota Atendimento</x:v>
      </x:c>
      <x:c r="C29" s="15" t="str">
        <x:v>Área/ciclo</x:v>
      </x:c>
      <x:c r="D29" s="15" t="str">
        <x:v>Inteiro</x:v>
      </x:c>
      <x:c r="E29" s="15" t="str">
        <x:v>Condicional</x:v>
      </x:c>
      <x:c r="F29" s="15" t="str">
        <x:v>1, 2 ou 3</x:v>
      </x:c>
      <x:c r="G29" s="15" t="str">
        <x:v>Sim</x:v>
      </x:c>
      <x:c r="H29" s="15" t="str">
        <x:v>Não</x:v>
      </x:c>
      <x:c r="I29" s="15" t="str">
        <x:v>Complexidade</x:v>
      </x:c>
      <x:c r="J29" s="15" t="str">
        <x:v>Sim</x:v>
      </x:c>
      <x:c r="K29" s="15" t="str">
        <x:v>Peso igual</x:v>
      </x:c>
    </x:row>
    <x:row r="30">
      <x:c r="A30" s="15" t="str">
        <x:v>Fiscal</x:v>
      </x:c>
      <x:c r="B30" s="15" t="str">
        <x:v>Nota Tributação</x:v>
      </x:c>
      <x:c r="C30" s="15" t="str">
        <x:v>Área/ciclo</x:v>
      </x:c>
      <x:c r="D30" s="15" t="str">
        <x:v>Inteiro</x:v>
      </x:c>
      <x:c r="E30" s="15" t="str">
        <x:v>Condicional</x:v>
      </x:c>
      <x:c r="F30" s="15" t="str">
        <x:v>1, 2 ou 3</x:v>
      </x:c>
      <x:c r="G30" s="15" t="str">
        <x:v>Sim</x:v>
      </x:c>
      <x:c r="H30" s="15" t="str">
        <x:v>Não</x:v>
      </x:c>
      <x:c r="I30" s="15" t="str">
        <x:v>Complexidade</x:v>
      </x:c>
      <x:c r="J30" s="15" t="str">
        <x:v>Sim</x:v>
      </x:c>
      <x:c r="K30" s="15" t="str">
        <x:v>Peso igual</x:v>
      </x:c>
    </x:row>
    <x:row r="31">
      <x:c r="A31" s="15" t="str">
        <x:v>Fiscal</x:v>
      </x:c>
      <x:c r="B31" s="15" t="str">
        <x:v>Nota Organização</x:v>
      </x:c>
      <x:c r="C31" s="15" t="str">
        <x:v>Área/ciclo</x:v>
      </x:c>
      <x:c r="D31" s="15" t="str">
        <x:v>Inteiro</x:v>
      </x:c>
      <x:c r="E31" s="15" t="str">
        <x:v>Condicional</x:v>
      </x:c>
      <x:c r="F31" s="15" t="str">
        <x:v>1, 2 ou 3</x:v>
      </x:c>
      <x:c r="G31" s="15" t="str">
        <x:v>Sim</x:v>
      </x:c>
      <x:c r="H31" s="15" t="str">
        <x:v>Não</x:v>
      </x:c>
      <x:c r="I31" s="15" t="str">
        <x:v>Complexidade</x:v>
      </x:c>
      <x:c r="J31" s="15" t="str">
        <x:v>Sim</x:v>
      </x:c>
      <x:c r="K31" s="15" t="str">
        <x:v>Peso igual</x:v>
      </x:c>
    </x:row>
    <x:row r="32">
      <x:c r="A32" s="15" t="str">
        <x:v>Fiscal</x:v>
      </x:c>
      <x:c r="B32" s="15" t="str">
        <x:v>Complexidade</x:v>
      </x:c>
      <x:c r="C32" s="15" t="str">
        <x:v>Área/ciclo</x:v>
      </x:c>
      <x:c r="D32" s="15" t="str">
        <x:v>Calculado</x:v>
      </x:c>
      <x:c r="E32" s="15" t="str">
        <x:v>Calculado</x:v>
      </x:c>
      <x:c r="F32" s="15" t="str">
        <x:v>C0–C5 ou Pendente</x:v>
      </x:c>
      <x:c r="G32" s="15" t="str">
        <x:v>Não</x:v>
      </x:c>
      <x:c r="H32" s="15" t="str">
        <x:v>Não</x:v>
      </x:c>
      <x:c r="I32" s="15" t="str">
        <x:v>CCA/CCR/alertas</x:v>
      </x:c>
      <x:c r="J32" s="15" t="str">
        <x:v>—</x:v>
      </x:c>
      <x:c r="K32" s="15" t="str">
        <x:v>Nunca editável diretamente</x:v>
      </x:c>
    </x:row>
    <x:row r="33">
      <x:c r="A33" s="15" t="str">
        <x:v>Contábil</x:v>
      </x:c>
      <x:c r="B33" s="15" t="str">
        <x:v>Regime tributário</x:v>
      </x:c>
      <x:c r="C33" s="15" t="str">
        <x:v>Área/ciclo</x:v>
      </x:c>
      <x:c r="D33" s="15" t="str">
        <x:v>Lista</x:v>
      </x:c>
      <x:c r="E33" s="15" t="str">
        <x:v>Condicional</x:v>
      </x:c>
      <x:c r="F33" s="15" t="str">
        <x:v>MEI; Simples Nacional; Lucro Presumido; Lucro Real; Lucro Arbitrado; Imune; Isenta</x:v>
      </x:c>
      <x:c r="G33" s="15" t="str">
        <x:v>Sim</x:v>
      </x:c>
      <x:c r="H33" s="15" t="str">
        <x:v>Não</x:v>
      </x:c>
      <x:c r="I33" s="15" t="str">
        <x:v>Segmentação</x:v>
      </x:c>
      <x:c r="J33" s="15" t="str">
        <x:v>Sim</x:v>
      </x:c>
      <x:c r="K33" s="15" t="str">
        <x:v>Lista fixa do MVP</x:v>
      </x:c>
    </x:row>
    <x:row r="34">
      <x:c r="A34" s="15" t="str">
        <x:v>Contábil</x:v>
      </x:c>
      <x:c r="B34" s="15" t="str">
        <x:v>Forma recebimento documentos</x:v>
      </x:c>
      <x:c r="C34" s="15" t="str">
        <x:v>Área/ciclo</x:v>
      </x:c>
      <x:c r="D34" s="15" t="str">
        <x:v>Lista</x:v>
      </x:c>
      <x:c r="E34" s="15" t="str">
        <x:v>Condicional</x:v>
      </x:c>
      <x:c r="F34" s="15" t="str">
        <x:v>Grupo Recebimento de documentos da aba 05</x:v>
      </x:c>
      <x:c r="G34" s="15" t="str">
        <x:v>Sim</x:v>
      </x:c>
      <x:c r="H34" s="15" t="str">
        <x:v>Sim, com mapeamento</x:v>
      </x:c>
      <x:c r="I34" s="15" t="str">
        <x:v>Canais e oportunidades</x:v>
      </x:c>
      <x:c r="J34" s="15" t="str">
        <x:v>Sim</x:v>
      </x:c>
      <x:c r="K34" s="15" t="str">
        <x:v>Categoria canônica obrigatória</x:v>
      </x:c>
    </x:row>
    <x:row r="35">
      <x:c r="A35" s="15" t="str">
        <x:v>Contábil</x:v>
      </x:c>
      <x:c r="B35" s="15" t="str">
        <x:v>Forma envio documentos</x:v>
      </x:c>
      <x:c r="C35" s="15" t="str">
        <x:v>Área/ciclo</x:v>
      </x:c>
      <x:c r="D35" s="15" t="str">
        <x:v>Lista</x:v>
      </x:c>
      <x:c r="E35" s="15" t="str">
        <x:v>Condicional</x:v>
      </x:c>
      <x:c r="F35" s="15" t="str">
        <x:v>Grupo Envio de documentos da aba 05</x:v>
      </x:c>
      <x:c r="G35" s="15" t="str">
        <x:v>Sim</x:v>
      </x:c>
      <x:c r="H35" s="15" t="str">
        <x:v>Sim, com mapeamento</x:v>
      </x:c>
      <x:c r="I35" s="15" t="str">
        <x:v>Canais e oportunidades</x:v>
      </x:c>
      <x:c r="J35" s="15" t="str">
        <x:v>Sim</x:v>
      </x:c>
      <x:c r="K35" s="15" t="str">
        <x:v>Categoria canônica obrigatória</x:v>
      </x:c>
    </x:row>
    <x:row r="36">
      <x:c r="A36" s="15" t="str">
        <x:v>Contábil</x:v>
      </x:c>
      <x:c r="B36" s="15" t="str">
        <x:v>Forma integração</x:v>
      </x:c>
      <x:c r="C36" s="15" t="str">
        <x:v>Área/ciclo</x:v>
      </x:c>
      <x:c r="D36" s="15" t="str">
        <x:v>Lista</x:v>
      </x:c>
      <x:c r="E36" s="15" t="str">
        <x:v>Condicional</x:v>
      </x:c>
      <x:c r="F36" s="15" t="str">
        <x:v>Grupo Integração da aba 05</x:v>
      </x:c>
      <x:c r="G36" s="15" t="str">
        <x:v>Sim</x:v>
      </x:c>
      <x:c r="H36" s="15" t="str">
        <x:v>Sim, com mapeamento</x:v>
      </x:c>
      <x:c r="I36" s="15" t="str">
        <x:v>Automação</x:v>
      </x:c>
      <x:c r="J36" s="15" t="str">
        <x:v>Sim</x:v>
      </x:c>
      <x:c r="K36" s="15" t="str">
        <x:v>Categoria canônica obrigatória</x:v>
      </x:c>
    </x:row>
    <x:row r="37">
      <x:c r="A37" s="15" t="str">
        <x:v>Contábil</x:v>
      </x:c>
      <x:c r="B37" s="15" t="str">
        <x:v>Forma de lançamento</x:v>
      </x:c>
      <x:c r="C37" s="15" t="str">
        <x:v>Área/ciclo</x:v>
      </x:c>
      <x:c r="D37" s="15" t="str">
        <x:v>Lista</x:v>
      </x:c>
      <x:c r="E37" s="15" t="str">
        <x:v>Condicional</x:v>
      </x:c>
      <x:c r="F37" s="15" t="str">
        <x:v>Grupo Forma de lançamento da aba 05</x:v>
      </x:c>
      <x:c r="G37" s="15" t="str">
        <x:v>Sim</x:v>
      </x:c>
      <x:c r="H37" s="15" t="str">
        <x:v>Sim, com mapeamento</x:v>
      </x:c>
      <x:c r="I37" s="15" t="str">
        <x:v>Oportunidades</x:v>
      </x:c>
      <x:c r="J37" s="15" t="str">
        <x:v>Sim</x:v>
      </x:c>
      <x:c r="K37" s="15" t="str">
        <x:v>Incluído no MVP</x:v>
      </x:c>
    </x:row>
    <x:row r="38">
      <x:c r="A38" s="15" t="str">
        <x:v>Contábil</x:v>
      </x:c>
      <x:c r="B38" s="15" t="str">
        <x:v>Periodicidade de Fechamento</x:v>
      </x:c>
      <x:c r="C38" s="15" t="str">
        <x:v>Área/ciclo</x:v>
      </x:c>
      <x:c r="D38" s="15" t="str">
        <x:v>Lista</x:v>
      </x:c>
      <x:c r="E38" s="15" t="str">
        <x:v>Condicional</x:v>
      </x:c>
      <x:c r="F38" s="15" t="str">
        <x:v>Grupo Periodicidade de fechamento da aba 05</x:v>
      </x:c>
      <x:c r="G38" s="15" t="str">
        <x:v>Sim</x:v>
      </x:c>
      <x:c r="H38" s="15" t="str">
        <x:v>Sim, com mapeamento</x:v>
      </x:c>
      <x:c r="I38" s="15" t="str">
        <x:v>Cadência de fechamento</x:v>
      </x:c>
      <x:c r="J38" s="15" t="str">
        <x:v>Sim</x:v>
      </x:c>
      <x:c r="K38" s="15" t="str">
        <x:v>Nova coluna</x:v>
      </x:c>
    </x:row>
    <x:row r="39">
      <x:c r="A39" s="15" t="str">
        <x:v>Contábil</x:v>
      </x:c>
      <x:c r="B39" s="15" t="str">
        <x:v>Último Mês de Conciliação</x:v>
      </x:c>
      <x:c r="C39" s="15" t="str">
        <x:v>Área/ciclo</x:v>
      </x:c>
      <x:c r="D39" s="15" t="str">
        <x:v>AAAA-MM</x:v>
      </x:c>
      <x:c r="E39" s="15" t="str">
        <x:v>Condicional</x:v>
      </x:c>
      <x:c r="F39" s="15" t="str">
        <x:v>Mês válido</x:v>
      </x:c>
      <x:c r="G39" s="15" t="str">
        <x:v>Sim</x:v>
      </x:c>
      <x:c r="H39" s="15" t="str">
        <x:v>Não</x:v>
      </x:c>
      <x:c r="I39" s="15" t="str">
        <x:v>Atualidade da conciliação</x:v>
      </x:c>
      <x:c r="J39" s="15" t="str">
        <x:v>Sim</x:v>
      </x:c>
      <x:c r="K39" s="15" t="str">
        <x:v>Referência pela atividade-fim</x:v>
      </x:c>
    </x:row>
    <x:row r="40">
      <x:c r="A40" s="15" t="str">
        <x:v>Contábil</x:v>
      </x:c>
      <x:c r="B40" s="15" t="str">
        <x:v>Nota Volume</x:v>
      </x:c>
      <x:c r="C40" s="15" t="str">
        <x:v>Área/ciclo</x:v>
      </x:c>
      <x:c r="D40" s="15" t="str">
        <x:v>Inteiro</x:v>
      </x:c>
      <x:c r="E40" s="15" t="str">
        <x:v>Condicional</x:v>
      </x:c>
      <x:c r="F40" s="15" t="str">
        <x:v>1, 2 ou 3</x:v>
      </x:c>
      <x:c r="G40" s="15" t="str">
        <x:v>Sim</x:v>
      </x:c>
      <x:c r="H40" s="15" t="str">
        <x:v>Não</x:v>
      </x:c>
      <x:c r="I40" s="15" t="str">
        <x:v>Complexidade</x:v>
      </x:c>
      <x:c r="J40" s="15" t="str">
        <x:v>Sim</x:v>
      </x:c>
      <x:c r="K40" s="15" t="str">
        <x:v>Peso igual</x:v>
      </x:c>
    </x:row>
    <x:row r="41">
      <x:c r="A41" s="15" t="str">
        <x:v>Contábil</x:v>
      </x:c>
      <x:c r="B41" s="15" t="str">
        <x:v>Nota Atendimento</x:v>
      </x:c>
      <x:c r="C41" s="15" t="str">
        <x:v>Área/ciclo</x:v>
      </x:c>
      <x:c r="D41" s="15" t="str">
        <x:v>Inteiro</x:v>
      </x:c>
      <x:c r="E41" s="15" t="str">
        <x:v>Condicional</x:v>
      </x:c>
      <x:c r="F41" s="15" t="str">
        <x:v>1, 2 ou 3</x:v>
      </x:c>
      <x:c r="G41" s="15" t="str">
        <x:v>Sim</x:v>
      </x:c>
      <x:c r="H41" s="15" t="str">
        <x:v>Não</x:v>
      </x:c>
      <x:c r="I41" s="15" t="str">
        <x:v>Complexidade</x:v>
      </x:c>
      <x:c r="J41" s="15" t="str">
        <x:v>Sim</x:v>
      </x:c>
      <x:c r="K41" s="15" t="str">
        <x:v>Peso igual</x:v>
      </x:c>
    </x:row>
    <x:row r="42">
      <x:c r="A42" s="15" t="str">
        <x:v>Contábil</x:v>
      </x:c>
      <x:c r="B42" s="15" t="str">
        <x:v>Nota Tributação</x:v>
      </x:c>
      <x:c r="C42" s="15" t="str">
        <x:v>Área/ciclo</x:v>
      </x:c>
      <x:c r="D42" s="15" t="str">
        <x:v>Inteiro</x:v>
      </x:c>
      <x:c r="E42" s="15" t="str">
        <x:v>Condicional</x:v>
      </x:c>
      <x:c r="F42" s="15" t="str">
        <x:v>1, 2 ou 3</x:v>
      </x:c>
      <x:c r="G42" s="15" t="str">
        <x:v>Sim</x:v>
      </x:c>
      <x:c r="H42" s="15" t="str">
        <x:v>Não</x:v>
      </x:c>
      <x:c r="I42" s="15" t="str">
        <x:v>Complexidade</x:v>
      </x:c>
      <x:c r="J42" s="15" t="str">
        <x:v>Sim</x:v>
      </x:c>
      <x:c r="K42" s="15" t="str">
        <x:v>Peso igual</x:v>
      </x:c>
    </x:row>
    <x:row r="43">
      <x:c r="A43" s="15" t="str">
        <x:v>Contábil</x:v>
      </x:c>
      <x:c r="B43" s="15" t="str">
        <x:v>Nota Organização</x:v>
      </x:c>
      <x:c r="C43" s="15" t="str">
        <x:v>Área/ciclo</x:v>
      </x:c>
      <x:c r="D43" s="15" t="str">
        <x:v>Inteiro</x:v>
      </x:c>
      <x:c r="E43" s="15" t="str">
        <x:v>Condicional</x:v>
      </x:c>
      <x:c r="F43" s="15" t="str">
        <x:v>1, 2 ou 3</x:v>
      </x:c>
      <x:c r="G43" s="15" t="str">
        <x:v>Sim</x:v>
      </x:c>
      <x:c r="H43" s="15" t="str">
        <x:v>Não</x:v>
      </x:c>
      <x:c r="I43" s="15" t="str">
        <x:v>Complexidade</x:v>
      </x:c>
      <x:c r="J43" s="15" t="str">
        <x:v>Sim</x:v>
      </x:c>
      <x:c r="K43" s="15" t="str">
        <x:v>Peso igual</x:v>
      </x:c>
    </x:row>
    <x:row r="44">
      <x:c r="A44" s="15" t="str">
        <x:v>Contábil</x:v>
      </x:c>
      <x:c r="B44" s="15" t="str">
        <x:v>Complexidade</x:v>
      </x:c>
      <x:c r="C44" s="15" t="str">
        <x:v>Área/ciclo</x:v>
      </x:c>
      <x:c r="D44" s="15" t="str">
        <x:v>Calculado</x:v>
      </x:c>
      <x:c r="E44" s="15" t="str">
        <x:v>Calculado</x:v>
      </x:c>
      <x:c r="F44" s="15" t="str">
        <x:v>C0–C5 ou Pendente</x:v>
      </x:c>
      <x:c r="G44" s="15" t="str">
        <x:v>Não</x:v>
      </x:c>
      <x:c r="H44" s="15" t="str">
        <x:v>Não</x:v>
      </x:c>
      <x:c r="I44" s="15" t="str">
        <x:v>CCA/CCR/alertas</x:v>
      </x:c>
      <x:c r="J44" s="15" t="str">
        <x:v>—</x:v>
      </x:c>
      <x:c r="K44" s="15" t="str">
        <x:v>Nunca editável diretamente</x:v>
      </x:c>
    </x:row>
    <x:row r="45">
      <x:c r="A45" s="15" t="str">
        <x:v>Pessoal</x:v>
      </x:c>
      <x:c r="B45" s="15" t="str">
        <x:v>Qtd. Funcionários</x:v>
      </x:c>
      <x:c r="C45" s="15" t="str">
        <x:v>Área/ciclo</x:v>
      </x:c>
      <x:c r="D45" s="15" t="str">
        <x:v>Inteiro</x:v>
      </x:c>
      <x:c r="E45" s="15" t="str">
        <x:v>Condicional</x:v>
      </x:c>
      <x:c r="F45" s="15" t="str">
        <x:v>&gt;= 0</x:v>
      </x:c>
      <x:c r="G45" s="15" t="str">
        <x:v>Sim</x:v>
      </x:c>
      <x:c r="H45" s="15" t="str">
        <x:v>Não</x:v>
      </x:c>
      <x:c r="I45" s="15" t="str">
        <x:v>Composição de vínculos</x:v>
      </x:c>
      <x:c r="J45" s="15" t="str">
        <x:v>Sim</x:v>
      </x:c>
      <x:c r="K45" s="15" t="str">
        <x:v>Obrigatório para frente ativa</x:v>
      </x:c>
    </x:row>
    <x:row r="46">
      <x:c r="A46" s="15" t="str">
        <x:v>Pessoal</x:v>
      </x:c>
      <x:c r="B46" s="15" t="str">
        <x:v>Qtd. Pró-labores</x:v>
      </x:c>
      <x:c r="C46" s="15" t="str">
        <x:v>Área/ciclo</x:v>
      </x:c>
      <x:c r="D46" s="15" t="str">
        <x:v>Inteiro</x:v>
      </x:c>
      <x:c r="E46" s="15" t="str">
        <x:v>Condicional</x:v>
      </x:c>
      <x:c r="F46" s="15" t="str">
        <x:v>&gt;= 0</x:v>
      </x:c>
      <x:c r="G46" s="15" t="str">
        <x:v>Sim</x:v>
      </x:c>
      <x:c r="H46" s="15" t="str">
        <x:v>Não</x:v>
      </x:c>
      <x:c r="I46" s="15" t="str">
        <x:v>Composição de vínculos</x:v>
      </x:c>
      <x:c r="J46" s="15" t="str">
        <x:v>Sim</x:v>
      </x:c>
      <x:c r="K46" s="15" t="str">
        <x:v>Obrigatório para frente ativa</x:v>
      </x:c>
    </x:row>
    <x:row r="47">
      <x:c r="A47" s="15" t="str">
        <x:v>Pessoal</x:v>
      </x:c>
      <x:c r="B47" s="15" t="str">
        <x:v>Qtd. Domésticas</x:v>
      </x:c>
      <x:c r="C47" s="15" t="str">
        <x:v>Área/ciclo</x:v>
      </x:c>
      <x:c r="D47" s="15" t="str">
        <x:v>Inteiro</x:v>
      </x:c>
      <x:c r="E47" s="15" t="str">
        <x:v>Condicional</x:v>
      </x:c>
      <x:c r="F47" s="15" t="str">
        <x:v>&gt;= 0</x:v>
      </x:c>
      <x:c r="G47" s="15" t="str">
        <x:v>Sim</x:v>
      </x:c>
      <x:c r="H47" s="15" t="str">
        <x:v>Não</x:v>
      </x:c>
      <x:c r="I47" s="15" t="str">
        <x:v>Composição de vínculos</x:v>
      </x:c>
      <x:c r="J47" s="15" t="str">
        <x:v>Sim</x:v>
      </x:c>
      <x:c r="K47" s="15" t="str">
        <x:v>Obrigatório para frente ativa</x:v>
      </x:c>
    </x:row>
    <x:row r="48">
      <x:c r="A48" s="15" t="str">
        <x:v>Pessoal</x:v>
      </x:c>
      <x:c r="B48" s="15" t="str">
        <x:v>Total de Vínculos</x:v>
      </x:c>
      <x:c r="C48" s="15" t="str">
        <x:v>Área/ciclo</x:v>
      </x:c>
      <x:c r="D48" s="15" t="str">
        <x:v>Calculado</x:v>
      </x:c>
      <x:c r="E48" s="15" t="str">
        <x:v>Calculado</x:v>
      </x:c>
      <x:c r="F48" s="15" t="str">
        <x:v>Funcionários + Pró-labores + Domésticas</x:v>
      </x:c>
      <x:c r="G48" s="15" t="str">
        <x:v>Não</x:v>
      </x:c>
      <x:c r="H48" s="15" t="str">
        <x:v>Não</x:v>
      </x:c>
      <x:c r="I48" s="15" t="str">
        <x:v>Volume total</x:v>
      </x:c>
      <x:c r="J48" s="15" t="str">
        <x:v>—</x:v>
      </x:c>
      <x:c r="K48" s="15" t="str">
        <x:v>Nunca editável diretamente</x:v>
      </x:c>
    </x:row>
    <x:row r="49">
      <x:c r="A49" s="15" t="str">
        <x:v>Pessoal</x:v>
      </x:c>
      <x:c r="B49" s="15" t="str">
        <x:v>Recebimento documentos</x:v>
      </x:c>
      <x:c r="C49" s="15" t="str">
        <x:v>Área/ciclo</x:v>
      </x:c>
      <x:c r="D49" s="15" t="str">
        <x:v>Lista</x:v>
      </x:c>
      <x:c r="E49" s="15" t="str">
        <x:v>Condicional</x:v>
      </x:c>
      <x:c r="F49" s="15" t="str">
        <x:v>Grupo Recebimento de documentos da aba 05</x:v>
      </x:c>
      <x:c r="G49" s="15" t="str">
        <x:v>Sim</x:v>
      </x:c>
      <x:c r="H49" s="15" t="str">
        <x:v>Sim, com mapeamento</x:v>
      </x:c>
      <x:c r="I49" s="15" t="str">
        <x:v>Canais e oportunidades</x:v>
      </x:c>
      <x:c r="J49" s="15" t="str">
        <x:v>Sim</x:v>
      </x:c>
      <x:c r="K49" s="15" t="str">
        <x:v>Categoria canônica obrigatória</x:v>
      </x:c>
    </x:row>
    <x:row r="50">
      <x:c r="A50" s="15" t="str">
        <x:v>Pessoal</x:v>
      </x:c>
      <x:c r="B50" s="15" t="str">
        <x:v>Recebimento variáveis</x:v>
      </x:c>
      <x:c r="C50" s="15" t="str">
        <x:v>Área/ciclo</x:v>
      </x:c>
      <x:c r="D50" s="15" t="str">
        <x:v>Lista</x:v>
      </x:c>
      <x:c r="E50" s="15" t="str">
        <x:v>Condicional</x:v>
      </x:c>
      <x:c r="F50" s="15" t="str">
        <x:v>Grupo Recebimento de variáveis da aba 05</x:v>
      </x:c>
      <x:c r="G50" s="15" t="str">
        <x:v>Sim</x:v>
      </x:c>
      <x:c r="H50" s="15" t="str">
        <x:v>Sim, com mapeamento</x:v>
      </x:c>
      <x:c r="I50" s="15" t="str">
        <x:v>Canais e oportunidades</x:v>
      </x:c>
      <x:c r="J50" s="15" t="str">
        <x:v>Sim</x:v>
      </x:c>
      <x:c r="K50" s="15" t="str">
        <x:v>Campo separado</x:v>
      </x:c>
    </x:row>
    <x:row r="51">
      <x:c r="A51" s="15" t="str">
        <x:v>Pessoal</x:v>
      </x:c>
      <x:c r="B51" s="15" t="str">
        <x:v>Recebimento ponto</x:v>
      </x:c>
      <x:c r="C51" s="15" t="str">
        <x:v>Área/ciclo</x:v>
      </x:c>
      <x:c r="D51" s="15" t="str">
        <x:v>Lista</x:v>
      </x:c>
      <x:c r="E51" s="15" t="str">
        <x:v>Condicional</x:v>
      </x:c>
      <x:c r="F51" s="15" t="str">
        <x:v>Grupo Recebimento de ponto da aba 05</x:v>
      </x:c>
      <x:c r="G51" s="15" t="str">
        <x:v>Sim</x:v>
      </x:c>
      <x:c r="H51" s="15" t="str">
        <x:v>Sim, com mapeamento</x:v>
      </x:c>
      <x:c r="I51" s="15" t="str">
        <x:v>Canais e oportunidades</x:v>
      </x:c>
      <x:c r="J51" s="15" t="str">
        <x:v>Sim</x:v>
      </x:c>
      <x:c r="K51" s="15" t="str">
        <x:v>Campo separado</x:v>
      </x:c>
    </x:row>
    <x:row r="52">
      <x:c r="A52" s="15" t="str">
        <x:v>Pessoal</x:v>
      </x:c>
      <x:c r="B52" s="15" t="str">
        <x:v>Envio documentos</x:v>
      </x:c>
      <x:c r="C52" s="15" t="str">
        <x:v>Área/ciclo</x:v>
      </x:c>
      <x:c r="D52" s="15" t="str">
        <x:v>Lista</x:v>
      </x:c>
      <x:c r="E52" s="15" t="str">
        <x:v>Condicional</x:v>
      </x:c>
      <x:c r="F52" s="15" t="str">
        <x:v>Grupo Envio de documentos da aba 05</x:v>
      </x:c>
      <x:c r="G52" s="15" t="str">
        <x:v>Sim</x:v>
      </x:c>
      <x:c r="H52" s="15" t="str">
        <x:v>Sim, com mapeamento</x:v>
      </x:c>
      <x:c r="I52" s="15" t="str">
        <x:v>Canais e oportunidades</x:v>
      </x:c>
      <x:c r="J52" s="15" t="str">
        <x:v>Sim</x:v>
      </x:c>
      <x:c r="K52" s="15" t="str">
        <x:v>Categoria canônica obrigatória</x:v>
      </x:c>
    </x:row>
    <x:row r="53">
      <x:c r="A53" s="15" t="str">
        <x:v>Pessoal</x:v>
      </x:c>
      <x:c r="B53" s="15" t="str">
        <x:v>Nota Volume</x:v>
      </x:c>
      <x:c r="C53" s="15" t="str">
        <x:v>Área/ciclo</x:v>
      </x:c>
      <x:c r="D53" s="15" t="str">
        <x:v>Calculado</x:v>
      </x:c>
      <x:c r="E53" s="15" t="str">
        <x:v>Calculado</x:v>
      </x:c>
      <x:c r="F53" s="15" t="str">
        <x:v>1 até 10; 2 de 11 a 50; 3 acima de 50</x:v>
      </x:c>
      <x:c r="G53" s="15" t="str">
        <x:v>Não</x:v>
      </x:c>
      <x:c r="H53" s="15" t="str">
        <x:v>Regra versionada</x:v>
      </x:c>
      <x:c r="I53" s="15" t="str">
        <x:v>Complexidade</x:v>
      </x:c>
      <x:c r="J53" s="15" t="str">
        <x:v>—</x:v>
      </x:c>
      <x:c r="K53" s="15" t="str">
        <x:v>Derivada do Total de Vínculos</x:v>
      </x:c>
    </x:row>
    <x:row r="54">
      <x:c r="A54" s="15" t="str">
        <x:v>Pessoal</x:v>
      </x:c>
      <x:c r="B54" s="15" t="str">
        <x:v>Nota Atendimento</x:v>
      </x:c>
      <x:c r="C54" s="15" t="str">
        <x:v>Área/ciclo</x:v>
      </x:c>
      <x:c r="D54" s="15" t="str">
        <x:v>Inteiro</x:v>
      </x:c>
      <x:c r="E54" s="15" t="str">
        <x:v>Condicional</x:v>
      </x:c>
      <x:c r="F54" s="15" t="str">
        <x:v>1, 2 ou 3</x:v>
      </x:c>
      <x:c r="G54" s="15" t="str">
        <x:v>Sim</x:v>
      </x:c>
      <x:c r="H54" s="15" t="str">
        <x:v>Não</x:v>
      </x:c>
      <x:c r="I54" s="15" t="str">
        <x:v>Complexidade</x:v>
      </x:c>
      <x:c r="J54" s="15" t="str">
        <x:v>Sim</x:v>
      </x:c>
      <x:c r="K54" s="15" t="str">
        <x:v>Peso igual</x:v>
      </x:c>
    </x:row>
    <x:row r="55">
      <x:c r="A55" s="15" t="str">
        <x:v>Pessoal</x:v>
      </x:c>
      <x:c r="B55" s="15" t="str">
        <x:v>Nota Organização</x:v>
      </x:c>
      <x:c r="C55" s="15" t="str">
        <x:v>Área/ciclo</x:v>
      </x:c>
      <x:c r="D55" s="15" t="str">
        <x:v>Inteiro</x:v>
      </x:c>
      <x:c r="E55" s="15" t="str">
        <x:v>Condicional</x:v>
      </x:c>
      <x:c r="F55" s="15" t="str">
        <x:v>1, 2 ou 3</x:v>
      </x:c>
      <x:c r="G55" s="15" t="str">
        <x:v>Sim</x:v>
      </x:c>
      <x:c r="H55" s="15" t="str">
        <x:v>Não</x:v>
      </x:c>
      <x:c r="I55" s="15" t="str">
        <x:v>Complexidade</x:v>
      </x:c>
      <x:c r="J55" s="15" t="str">
        <x:v>Sim</x:v>
      </x:c>
      <x:c r="K55" s="15" t="str">
        <x:v>Peso igual</x:v>
      </x:c>
    </x:row>
    <x:row r="56">
      <x:c r="A56" s="15" t="str">
        <x:v>Pessoal</x:v>
      </x:c>
      <x:c r="B56" s="15" t="str">
        <x:v>Nota Rotatividade</x:v>
      </x:c>
      <x:c r="C56" s="15" t="str">
        <x:v>Área/ciclo</x:v>
      </x:c>
      <x:c r="D56" s="15" t="str">
        <x:v>Inteiro</x:v>
      </x:c>
      <x:c r="E56" s="15" t="str">
        <x:v>Condicional</x:v>
      </x:c>
      <x:c r="F56" s="15" t="str">
        <x:v>1, 2 ou 3</x:v>
      </x:c>
      <x:c r="G56" s="15" t="str">
        <x:v>Sim</x:v>
      </x:c>
      <x:c r="H56" s="15" t="str">
        <x:v>Não</x:v>
      </x:c>
      <x:c r="I56" s="15" t="str">
        <x:v>Complexidade</x:v>
      </x:c>
      <x:c r="J56" s="15" t="str">
        <x:v>Sim</x:v>
      </x:c>
      <x:c r="K56" s="15" t="str">
        <x:v>Avaliação manual; peso igual</x:v>
      </x:c>
    </x:row>
    <x:row r="57">
      <x:c r="A57" s="15" t="str">
        <x:v>Pessoal</x:v>
      </x:c>
      <x:c r="B57" s="15" t="str">
        <x:v>Complexidade</x:v>
      </x:c>
      <x:c r="C57" s="15" t="str">
        <x:v>Área/ciclo</x:v>
      </x:c>
      <x:c r="D57" s="15" t="str">
        <x:v>Calculado</x:v>
      </x:c>
      <x:c r="E57" s="15" t="str">
        <x:v>Calculado</x:v>
      </x:c>
      <x:c r="F57" s="15" t="str">
        <x:v>C0–C5 ou Pendente</x:v>
      </x:c>
      <x:c r="G57" s="15" t="str">
        <x:v>Não</x:v>
      </x:c>
      <x:c r="H57" s="15" t="str">
        <x:v>Não</x:v>
      </x:c>
      <x:c r="I57" s="15" t="str">
        <x:v>CCA/CCR/alertas</x:v>
      </x:c>
      <x:c r="J57" s="15" t="str">
        <x:v>—</x:v>
      </x:c>
      <x:c r="K57" s="15" t="str">
        <x:v>Nunca editável diretamente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52fa93c53614f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0" hidden="0" customWidth="1"/>
    <x:col min="2" max="2" width="27" hidden="0" customWidth="1"/>
    <x:col min="3" max="4" width="16" customWidth="1"/>
    <x:col min="5" max="5" width="17" hidden="0" customWidth="1"/>
    <x:col min="6" max="6" width="22" hidden="0" customWidth="1"/>
    <x:col min="7" max="7" width="17" hidden="0" customWidth="1"/>
    <x:col min="8" max="8" width="48" hidden="0" customWidth="1"/>
    <x:col min="3" max="3" width="18" hidden="0" customWidth="1"/>
    <x:col min="4" max="4" width="18" hidden="0" customWidth="1"/>
  </x:cols>
  <x:sheetData>
    <x:row r="1" ht="26" customHeight="1">
      <x:c r="A1" s="9" t="str">
        <x:v>07 — REGRAS DE COMPLEXIDADE</x:v>
      </x:c>
      <x:c r="B1" s="9"/>
      <x:c r="C1" s="9"/>
      <x:c r="D1" s="9"/>
      <x:c r="E1" s="9"/>
      <x:c r="F1" s="9"/>
      <x:c r="G1" s="9"/>
      <x:c r="H1" s="9"/>
    </x:row>
    <x:row r="2" ht="24" customHeight="1">
      <x:c r="A2" s="12" t="str">
        <x:v>Regras canônicas do MVP — pesos iguais e classe não editável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21" t="str">
        <x:v>Área</x:v>
      </x:c>
      <x:c r="B4" s="21" t="str">
        <x:v>Critérios</x:v>
      </x:c>
      <x:c r="C4" s="21" t="str">
        <x:v>Soma mínima</x:v>
      </x:c>
      <x:c r="D4" s="21" t="str">
        <x:v>Soma máxima</x:v>
      </x:c>
      <x:c r="E4" s="21" t="str">
        <x:v>Classe</x:v>
      </x:c>
      <x:c r="F4" s="21" t="str">
        <x:v>Inclui em CCA/CCR?</x:v>
      </x:c>
      <x:c r="G4" s="21" t="str">
        <x:v>Valor numérico</x:v>
      </x:c>
      <x:c r="H4" s="21" t="str">
        <x:v>Observação</x:v>
      </x:c>
    </x:row>
    <x:row r="5" ht="22" customHeight="1">
      <x:c r="A5" s="23" t="str">
        <x:v>Fiscal/Contábil</x:v>
      </x:c>
      <x:c r="B5" s="23" t="str">
        <x:v>4 critérios</x:v>
      </x:c>
      <x:c r="C5" s="23"/>
      <x:c r="D5" s="23"/>
      <x:c r="E5" s="23" t="str">
        <x:v>C0</x:v>
      </x:c>
      <x:c r="F5" s="23" t="str">
        <x:v>Não</x:v>
      </x:c>
      <x:c r="G5" s="23" t="n">
        <x:v>0</x:v>
      </x:c>
      <x:c r="H5" s="23" t="str">
        <x:v>Status Sem movimento/Inativo/Encerrado</x:v>
      </x:c>
    </x:row>
    <x:row r="6" ht="22" customHeight="1">
      <x:c r="A6" s="23" t="str">
        <x:v>Fiscal/Contábil</x:v>
      </x:c>
      <x:c r="B6" s="23" t="str">
        <x:v>4 critérios</x:v>
      </x:c>
      <x:c r="C6" s="23" t="n">
        <x:v>4</x:v>
      </x:c>
      <x:c r="D6" s="23" t="n">
        <x:v>5</x:v>
      </x:c>
      <x:c r="E6" s="23" t="str">
        <x:v>C1</x:v>
      </x:c>
      <x:c r="F6" s="23" t="str">
        <x:v>Sim</x:v>
      </x:c>
      <x:c r="G6" s="23" t="n">
        <x:v>1</x:v>
      </x:c>
      <x:c r="H6" s="23"/>
    </x:row>
    <x:row r="7" ht="22" customHeight="1">
      <x:c r="A7" s="23" t="str">
        <x:v>Fiscal/Contábil</x:v>
      </x:c>
      <x:c r="B7" s="23" t="str">
        <x:v>4 critérios</x:v>
      </x:c>
      <x:c r="C7" s="23" t="n">
        <x:v>6</x:v>
      </x:c>
      <x:c r="D7" s="23" t="n">
        <x:v>7</x:v>
      </x:c>
      <x:c r="E7" s="23" t="str">
        <x:v>C2</x:v>
      </x:c>
      <x:c r="F7" s="23" t="str">
        <x:v>Sim</x:v>
      </x:c>
      <x:c r="G7" s="23" t="n">
        <x:v>2</x:v>
      </x:c>
      <x:c r="H7" s="23"/>
    </x:row>
    <x:row r="8" ht="22" customHeight="1">
      <x:c r="A8" s="23" t="str">
        <x:v>Fiscal/Contábil</x:v>
      </x:c>
      <x:c r="B8" s="23" t="str">
        <x:v>4 critérios</x:v>
      </x:c>
      <x:c r="C8" s="23" t="n">
        <x:v>8</x:v>
      </x:c>
      <x:c r="D8" s="23" t="n">
        <x:v>9</x:v>
      </x:c>
      <x:c r="E8" s="23" t="str">
        <x:v>C3</x:v>
      </x:c>
      <x:c r="F8" s="23" t="str">
        <x:v>Sim</x:v>
      </x:c>
      <x:c r="G8" s="23" t="n">
        <x:v>3</x:v>
      </x:c>
      <x:c r="H8" s="23"/>
    </x:row>
    <x:row r="9" ht="22" customHeight="1">
      <x:c r="A9" s="23" t="str">
        <x:v>Fiscal/Contábil</x:v>
      </x:c>
      <x:c r="B9" s="23" t="str">
        <x:v>4 critérios</x:v>
      </x:c>
      <x:c r="C9" s="23" t="n">
        <x:v>10</x:v>
      </x:c>
      <x:c r="D9" s="23" t="n">
        <x:v>11</x:v>
      </x:c>
      <x:c r="E9" s="23" t="str">
        <x:v>C4</x:v>
      </x:c>
      <x:c r="F9" s="23" t="str">
        <x:v>Sim</x:v>
      </x:c>
      <x:c r="G9" s="23" t="n">
        <x:v>4</x:v>
      </x:c>
      <x:c r="H9" s="23"/>
    </x:row>
    <x:row r="10" ht="22" customHeight="1">
      <x:c r="A10" s="23" t="str">
        <x:v>Fiscal/Contábil</x:v>
      </x:c>
      <x:c r="B10" s="23" t="str">
        <x:v>4 critérios</x:v>
      </x:c>
      <x:c r="C10" s="23" t="n">
        <x:v>12</x:v>
      </x:c>
      <x:c r="D10" s="23" t="n">
        <x:v>12</x:v>
      </x:c>
      <x:c r="E10" s="23" t="str">
        <x:v>C5</x:v>
      </x:c>
      <x:c r="F10" s="23" t="str">
        <x:v>Sim</x:v>
      </x:c>
      <x:c r="G10" s="23" t="n">
        <x:v>5</x:v>
      </x:c>
      <x:c r="H10" s="23"/>
    </x:row>
    <x:row r="11" ht="22" customHeight="1">
      <x:c r="A11" s="23" t="str">
        <x:v>Pessoal</x:v>
      </x:c>
      <x:c r="B11" s="23" t="str">
        <x:v>4 critérios</x:v>
      </x:c>
      <x:c r="C11" s="23"/>
      <x:c r="D11" s="23"/>
      <x:c r="E11" s="23" t="str">
        <x:v>C0</x:v>
      </x:c>
      <x:c r="F11" s="23" t="str">
        <x:v>Não</x:v>
      </x:c>
      <x:c r="G11" s="23" t="n">
        <x:v>0</x:v>
      </x:c>
      <x:c r="H11" s="23" t="str">
        <x:v>Status Sem movimento/Inativo/Encerrado</x:v>
      </x:c>
    </x:row>
    <x:row r="12" ht="22" customHeight="1">
      <x:c r="A12" s="23" t="str">
        <x:v>Pessoal</x:v>
      </x:c>
      <x:c r="B12" s="23" t="str">
        <x:v>4 critérios</x:v>
      </x:c>
      <x:c r="C12" s="23" t="n">
        <x:v>4</x:v>
      </x:c>
      <x:c r="D12" s="23" t="n">
        <x:v>5</x:v>
      </x:c>
      <x:c r="E12" s="23" t="str">
        <x:v>C1</x:v>
      </x:c>
      <x:c r="F12" s="23" t="str">
        <x:v>Sim</x:v>
      </x:c>
      <x:c r="G12" s="23" t="n">
        <x:v>1</x:v>
      </x:c>
      <x:c r="H12" s="23"/>
    </x:row>
    <x:row r="13" ht="22" customHeight="1">
      <x:c r="A13" s="23" t="str">
        <x:v>Pessoal</x:v>
      </x:c>
      <x:c r="B13" s="23" t="str">
        <x:v>4 critérios</x:v>
      </x:c>
      <x:c r="C13" s="23" t="n">
        <x:v>6</x:v>
      </x:c>
      <x:c r="D13" s="23" t="n">
        <x:v>7</x:v>
      </x:c>
      <x:c r="E13" s="23" t="str">
        <x:v>C2</x:v>
      </x:c>
      <x:c r="F13" s="23" t="str">
        <x:v>Sim</x:v>
      </x:c>
      <x:c r="G13" s="23" t="n">
        <x:v>2</x:v>
      </x:c>
      <x:c r="H13" s="23"/>
    </x:row>
    <x:row r="14" ht="22" customHeight="1">
      <x:c r="A14" s="23" t="str">
        <x:v>Pessoal</x:v>
      </x:c>
      <x:c r="B14" s="23" t="str">
        <x:v>4 critérios</x:v>
      </x:c>
      <x:c r="C14" s="23" t="n">
        <x:v>8</x:v>
      </x:c>
      <x:c r="D14" s="23" t="n">
        <x:v>9</x:v>
      </x:c>
      <x:c r="E14" s="23" t="str">
        <x:v>C3</x:v>
      </x:c>
      <x:c r="F14" s="23" t="str">
        <x:v>Sim</x:v>
      </x:c>
      <x:c r="G14" s="23" t="n">
        <x:v>3</x:v>
      </x:c>
      <x:c r="H14" s="23"/>
    </x:row>
    <x:row r="15" ht="22" customHeight="1">
      <x:c r="A15" s="23" t="str">
        <x:v>Pessoal</x:v>
      </x:c>
      <x:c r="B15" s="23" t="str">
        <x:v>4 critérios</x:v>
      </x:c>
      <x:c r="C15" s="23" t="n">
        <x:v>10</x:v>
      </x:c>
      <x:c r="D15" s="23" t="n">
        <x:v>11</x:v>
      </x:c>
      <x:c r="E15" s="23" t="str">
        <x:v>C4</x:v>
      </x:c>
      <x:c r="F15" s="23" t="str">
        <x:v>Sim</x:v>
      </x:c>
      <x:c r="G15" s="23" t="n">
        <x:v>4</x:v>
      </x:c>
      <x:c r="H15" s="23"/>
    </x:row>
    <x:row r="16" ht="22" customHeight="1">
      <x:c r="A16" s="23" t="str">
        <x:v>Pessoal</x:v>
      </x:c>
      <x:c r="B16" s="23" t="str">
        <x:v>4 critérios</x:v>
      </x:c>
      <x:c r="C16" s="23" t="n">
        <x:v>12</x:v>
      </x:c>
      <x:c r="D16" s="23" t="n">
        <x:v>12</x:v>
      </x:c>
      <x:c r="E16" s="23" t="str">
        <x:v>C5</x:v>
      </x:c>
      <x:c r="F16" s="23" t="str">
        <x:v>Sim</x:v>
      </x:c>
      <x:c r="G16" s="23" t="n">
        <x:v>5</x:v>
      </x:c>
      <x:c r="H16" s="23"/>
    </x:row>
    <x:row r="17" ht="22" customHeight="1">
      <x:c r="A17" s="23" t="str">
        <x:v>Todas</x:v>
      </x:c>
      <x:c r="B17" s="23" t="str">
        <x:v>Critério ausente</x:v>
      </x:c>
      <x:c r="C17" s="23"/>
      <x:c r="D17" s="23"/>
      <x:c r="E17" s="23" t="str">
        <x:v>Pendente</x:v>
      </x:c>
      <x:c r="F17" s="23" t="str">
        <x:v>Não</x:v>
      </x:c>
      <x:c r="G17" s="23"/>
      <x:c r="H17" s="23" t="str">
        <x:v>Não converter ausência em C0</x:v>
      </x:c>
    </x:row>
    <x:row r="19" ht="24" customHeight="1">
      <x:c r="A19" s="16" t="str">
        <x:v>PONTUAÇÃO AUTOMÁTICA DE VOLUME — PESSOAL</x:v>
      </x:c>
      <x:c r="B19" s="16"/>
      <x:c r="C19" s="16"/>
      <x:c r="D19" s="16"/>
      <x:c r="E19" s="16"/>
      <x:c r="F19" s="16"/>
      <x:c r="G19" s="16"/>
      <x:c r="H19" s="16"/>
    </x:row>
    <x:row r="20" ht="24" customHeight="1">
      <x:c r="A20" s="21" t="str">
        <x:v>Faixa</x:v>
      </x:c>
      <x:c r="B20" s="21" t="str">
        <x:v>Total mínimo</x:v>
      </x:c>
      <x:c r="C20" s="21" t="str">
        <x:v>Total máximo</x:v>
      </x:c>
      <x:c r="D20" s="21" t="str">
        <x:v>Nota Volume</x:v>
      </x:c>
      <x:c r="E20" s="21" t="str">
        <x:v>Regra</x:v>
      </x:c>
      <x:c r="F20"/>
      <x:c r="G20"/>
      <x:c r="H20"/>
    </x:row>
    <x:row r="21" ht="24" customHeight="1">
      <x:c r="A21" s="23" t="str">
        <x:v>Baixo volume</x:v>
      </x:c>
      <x:c r="B21" s="23" t="n">
        <x:v>0</x:v>
      </x:c>
      <x:c r="C21" s="23" t="n">
        <x:v>10</x:v>
      </x:c>
      <x:c r="D21" s="23" t="n">
        <x:v>1</x:v>
      </x:c>
      <x:c r="E21" s="23" t="str">
        <x:v>Até 10 vínculos</x:v>
      </x:c>
      <x:c r="F21"/>
      <x:c r="G21"/>
      <x:c r="H21"/>
    </x:row>
    <x:row r="22" ht="24" customHeight="1">
      <x:c r="A22" s="23" t="str">
        <x:v>Médio volume</x:v>
      </x:c>
      <x:c r="B22" s="23" t="n">
        <x:v>11</x:v>
      </x:c>
      <x:c r="C22" s="23" t="n">
        <x:v>50</x:v>
      </x:c>
      <x:c r="D22" s="23" t="n">
        <x:v>2</x:v>
      </x:c>
      <x:c r="E22" s="23" t="str">
        <x:v>De 11 a 50 vínculos</x:v>
      </x:c>
      <x:c r="F22"/>
      <x:c r="G22"/>
      <x:c r="H22"/>
    </x:row>
    <x:row r="23" ht="24" customHeight="1">
      <x:c r="A23" s="23" t="str">
        <x:v>Alto volume</x:v>
      </x:c>
      <x:c r="B23" s="23" t="n">
        <x:v>51</x:v>
      </x:c>
      <x:c r="C23" s="23" t="str">
        <x:v>Sem limite</x:v>
      </x:c>
      <x:c r="D23" s="23" t="n">
        <x:v>3</x:v>
      </x:c>
      <x:c r="E23" s="23" t="str">
        <x:v>51 vínculos ou mais</x:v>
      </x:c>
      <x:c r="F23"/>
      <x:c r="G23"/>
      <x:c r="H23"/>
    </x:row>
    <x:row r="25" ht="24" customHeight="1">
      <x:c r="A25" s="16" t="str">
        <x:v>PADRÃO DE RESPOSTA — ROTATIVIDADE</x:v>
      </x:c>
      <x:c r="B25" s="16"/>
      <x:c r="C25" s="16"/>
      <x:c r="D25" s="16"/>
      <x:c r="E25" s="16"/>
      <x:c r="F25" s="16"/>
      <x:c r="G25" s="16"/>
      <x:c r="H25" s="16"/>
    </x:row>
    <x:row r="26" ht="28" customHeight="1">
      <x:c r="A26" s="21" t="str">
        <x:v>Nota</x:v>
      </x:c>
      <x:c r="B26" s="21" t="str">
        <x:v>Nível</x:v>
      </x:c>
      <x:c r="C26" s="21" t="str">
        <x:v>Padrão de resposta</x:v>
      </x:c>
      <x:c r="D26" s="21"/>
      <x:c r="E26" s="21"/>
      <x:c r="F26" s="21"/>
      <x:c r="G26" s="21"/>
      <x:c r="H26" s="21"/>
    </x:row>
    <x:row r="27" ht="32" customHeight="1">
      <x:c r="A27" s="23" t="n">
        <x:v>1</x:v>
      </x:c>
      <x:c r="B27" s="23" t="str">
        <x:v>Baixa</x:v>
      </x:c>
      <x:c r="C27" s="23" t="str">
        <x:v>Movimentações pouco frequentes e previsíveis, sem impacto recorrente relevante na rotina.</x:v>
      </x:c>
      <x:c r="D27" s="23"/>
      <x:c r="E27" s="23"/>
      <x:c r="F27" s="23"/>
      <x:c r="G27" s="23"/>
      <x:c r="H27" s="23"/>
    </x:row>
    <x:row r="28" ht="32" customHeight="1">
      <x:c r="A28" s="23" t="n">
        <x:v>2</x:v>
      </x:c>
      <x:c r="B28" s="23" t="str">
        <x:v>Moderada</x:v>
      </x:c>
      <x:c r="C28" s="23" t="str">
        <x:v>Admissões e desligamentos recorrentes, mas administráveis dentro da rotina normal.</x:v>
      </x:c>
      <x:c r="D28" s="23"/>
      <x:c r="E28" s="23"/>
      <x:c r="F28" s="23"/>
      <x:c r="G28" s="23"/>
      <x:c r="H28" s="23"/>
    </x:row>
    <x:row r="29" ht="32" customHeight="1">
      <x:c r="A29" s="23" t="n">
        <x:v>3</x:v>
      </x:c>
      <x:c r="B29" s="23" t="str">
        <x:v>Alta</x:v>
      </x:c>
      <x:c r="C29" s="23" t="str">
        <x:v>Movimentações intensas ou contínuas, com imprevisibilidade, urgências e impacto relevante na operação.</x:v>
      </x:c>
      <x:c r="D29" s="23"/>
      <x:c r="E29" s="23"/>
      <x:c r="F29" s="23"/>
      <x:c r="G29" s="23"/>
      <x:c r="H29" s="23"/>
    </x:row>
    <x:row r="31" ht="38" customHeight="1">
      <x:c r="A31" s="21" t="str">
        <x:v>Indicador</x:v>
      </x:c>
      <x:c r="B31" s="21" t="str">
        <x:v>Fórmula funcional</x:v>
      </x:c>
      <x:c r="C31" s="21" t="str">
        <x:v>Universo</x:v>
      </x:c>
      <x:c r="D31" s="21" t="str">
        <x:v>Exclusões</x:v>
      </x:c>
      <x:c r="E31" s="21" t="str">
        <x:v>Agrupamento</x:v>
      </x:c>
      <x:c r="F31" s="21" t="str">
        <x:v>Responsável</x:v>
      </x:c>
      <x:c r="G31" s="21" t="str">
        <x:v>Arredondamento</x:v>
      </x:c>
      <x:c r="H31" s="21" t="str">
        <x:v>Uso</x:v>
      </x:c>
    </x:row>
    <x:row r="32" ht="38" customHeight="1">
      <x:c r="A32" s="23" t="str">
        <x:v>CCA</x:v>
      </x:c>
      <x:c r="B32" s="23" t="str">
        <x:v>Σ(qtd Cn × n) / Σ(qtd classificados)</x:v>
      </x:c>
      <x:c r="C32" s="23" t="str">
        <x:v>Clientes ativos e classificados na área</x:v>
      </x:c>
      <x:c r="D32" s="23" t="str">
        <x:v>C0 e Pendente</x:v>
      </x:c>
      <x:c r="E32" s="23" t="str">
        <x:v>Área/ciclo</x:v>
      </x:c>
      <x:c r="F32" s="23" t="str">
        <x:v>—</x:v>
      </x:c>
      <x:c r="G32" s="23" t="str">
        <x:v>2 casas</x:v>
      </x:c>
      <x:c r="H32" s="23" t="str">
        <x:v>Complexidade média da carteira</x:v>
      </x:c>
    </x:row>
    <x:row r="33" ht="38" customHeight="1">
      <x:c r="A33" s="23" t="str">
        <x:v>CCR</x:v>
      </x:c>
      <x:c r="B33" s="23" t="str">
        <x:v>Σ(qtd Cn × n) / Σ(qtd classificados)</x:v>
      </x:c>
      <x:c r="C33" s="23" t="str">
        <x:v>Clientes ativos/classificados do responsável principal</x:v>
      </x:c>
      <x:c r="D33" s="23" t="str">
        <x:v>C0 e Pendente</x:v>
      </x:c>
      <x:c r="E33" s="23" t="str">
        <x:v>Área/responsável/ciclo</x:v>
      </x:c>
      <x:c r="F33" s="23" t="str">
        <x:v>Somente principal</x:v>
      </x:c>
      <x:c r="G33" s="23" t="str">
        <x:v>2 casas</x:v>
      </x:c>
      <x:c r="H33" s="23" t="str">
        <x:v>Carga média do responsável</x:v>
      </x:c>
    </x:row>
    <x:row r="34" ht="38" customHeight="1">
      <x:c r="A34" s="23" t="str">
        <x:v>Distribuição</x:v>
      </x:c>
      <x:c r="B34" s="23" t="str">
        <x:v>Qtd por classe / total classificado</x:v>
      </x:c>
      <x:c r="C34" s="23" t="str">
        <x:v>Clientes classificados</x:v>
      </x:c>
      <x:c r="D34" s="23" t="str">
        <x:v>Pendente; C0 mostrado à parte</x:v>
      </x:c>
      <x:c r="E34" s="23" t="str">
        <x:v>Área/ciclo</x:v>
      </x:c>
      <x:c r="F34" s="23" t="str">
        <x:v>Opcional</x:v>
      </x:c>
      <x:c r="G34" s="23" t="str">
        <x:v>1 casa %</x:v>
      </x:c>
      <x:c r="H34" s="23" t="str">
        <x:v>Composição C1–C5</x:v>
      </x:c>
    </x:row>
  </x:sheetData>
  <x:mergeCells>
    <x:mergeCell ref="A1:H1"/>
    <x:mergeCell ref="A2:H2"/>
    <x:mergeCell ref="A19:H19"/>
    <x:mergeCell ref="A25:H25"/>
    <x:mergeCell ref="C26:H26"/>
    <x:mergeCell ref="C27:H27"/>
    <x:mergeCell ref="C28:H28"/>
    <x:mergeCell ref="C29:H29"/>
  </x:mergeCells>
  <x:pageMargins left="0.7" right="0.7" top="0.75" bottom="0.75" header="0.3" footer="0.3"/>
</x:worksheet>
</file>